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pivotCacheDefinition+xml" PartName="/xl/pivotCache/pivotCacheDefinition1.xml"/>
  <Override ContentType="application/vnd.openxmlformats-officedocument.spreadsheetml.pivotCacheRecords+xml" PartName="/xl/pivotCache/pivotCacheRecords1.xml"/>
  <Override ContentType="application/vnd.openxmlformats-officedocument.drawing+xml" PartName="/xl/drawings/drawing1.xml"/>
  <Override ContentType="application/vnd.ms-excel.slicer+xml" PartName="/xl/slicers/slicer1.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worksheet+xml" PartName="/xl/worksheets/sheet4.xml"/>
  <Override ContentType="application/vnd.openxmlformats-officedocument.spreadsheetml.table+xml" PartName="/xl/tables/table1.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activeTab="0"/>
  </bookViews>
  <sheets>
    <sheet name="FILTRO" sheetId="1" r:id="rId1"/>
    <sheet name="A01" sheetId="2" r:id="rId2"/>
    <sheet name="DATOS" sheetId="3" r:id="rId5" state="hidden"/>
    <sheet name="COBERTURA" sheetId="4" r:id="rId10"/>
  </sheets>
  <definedNames>
    <definedName name="Slicer_Establecimiento">#N/A</definedName>
    <definedName name="Slicer_Mes">#N/A</definedName>
    <definedName name="Slicer_Sector">#N/A</definedName>
  </definedNames>
  <calcPr fullCalcOnLoad="1" fullPrecision="1" calcMode="auto"/>
  <pivotCaches>
    <pivotCache cacheId="1" r:id="rId6"/>
  </pivotCaches>
  <extLst>
    <ext xmlns:x14="http://schemas.microsoft.com/office/spreadsheetml/2009/9/main" uri="{BBE1A952-AA13-448e-AADC-164F8A28A991}">
      <x14:slicerCaches>
        <x14:slicerCache r:id="rId7"/>
        <x14:slicerCache r:id="rId8"/>
        <x14:slicerCache r:id="rId9"/>
      </x14:slicerCaches>
    </ext>
  </extLst>
</workbook>
</file>

<file path=xl/sharedStrings.xml><?xml version="1.0" encoding="utf-8"?>
<sst xmlns="http://schemas.openxmlformats.org/spreadsheetml/2006/main" count="145" uniqueCount="145">
  <si>
    <t>Consolidado REM Serie A 2026</t>
  </si>
  <si>
    <t>Datos al 2026-09-09 12:34 UTC. Versión: Versión prueba</t>
  </si>
  <si>
    <t>Seleccione establecimiento, mes y sector. Consulte COBERTURA para interpretar la ausencia de datos.</t>
  </si>
  <si>
    <t>Código</t>
  </si>
  <si>
    <t>Suma de valor.1</t>
  </si>
  <si>
    <t>Suma de valor.2</t>
  </si>
  <si>
    <t>Suma de valor.3</t>
  </si>
  <si>
    <t>Suma de valor.4</t>
  </si>
  <si>
    <t>Suma de valor.5</t>
  </si>
  <si>
    <t>Suma de valor.6</t>
  </si>
  <si>
    <t>Suma de valor.7</t>
  </si>
  <si>
    <t>Suma de valor.8</t>
  </si>
  <si>
    <t>Suma de valor.9</t>
  </si>
  <si>
    <t>Suma de valor.10</t>
  </si>
  <si>
    <t>Suma de valor.11</t>
  </si>
  <si>
    <t>Suma de valor.12</t>
  </si>
  <si>
    <t>Suma de valor.13</t>
  </si>
  <si>
    <t>Suma de valor.14</t>
  </si>
  <si>
    <t>Suma de valor.15</t>
  </si>
  <si>
    <t>Suma de valor.16</t>
  </si>
  <si>
    <t>Suma de valor.17</t>
  </si>
  <si>
    <t>Suma de valor.18</t>
  </si>
  <si>
    <t>Suma de valor.19</t>
  </si>
  <si>
    <t>Suma de valor.20</t>
  </si>
  <si>
    <t>Suma de valor.21</t>
  </si>
  <si>
    <t>Suma de valor.22</t>
  </si>
  <si>
    <t>Suma de valor.23</t>
  </si>
  <si>
    <t>Suma de valor.24</t>
  </si>
  <si>
    <t>Suma de valor.25</t>
  </si>
  <si>
    <t>Suma de valor.26</t>
  </si>
  <si>
    <t>Suma de valor.27</t>
  </si>
  <si>
    <t>Suma de valor.28</t>
  </si>
  <si>
    <t>Suma de valor.29</t>
  </si>
  <si>
    <t>Suma de valor.30</t>
  </si>
  <si>
    <t>Suma de valor.31</t>
  </si>
  <si>
    <t>Suma de valor.32</t>
  </si>
  <si>
    <t>Suma de valor.33</t>
  </si>
  <si>
    <t>Suma de valor.34</t>
  </si>
  <si>
    <t>Suma de valor.35</t>
  </si>
  <si>
    <t>Suma de valor.36</t>
  </si>
  <si>
    <t>Suma de valor.37</t>
  </si>
  <si>
    <t>Suma de valor.38</t>
  </si>
  <si>
    <t>Suma de valor.39</t>
  </si>
  <si>
    <t>Suma de valor.40</t>
  </si>
  <si>
    <t>Suma de valor.41</t>
  </si>
  <si>
    <t>Suma de valor.42</t>
  </si>
  <si>
    <t>Suma de valor.43</t>
  </si>
  <si>
    <t>Suma de valor.44</t>
  </si>
  <si>
    <t>Suma de valor.45</t>
  </si>
  <si>
    <t>Suma de valor.46</t>
  </si>
  <si>
    <t>Suma de valor.47</t>
  </si>
  <si>
    <t>Suma de valor.48</t>
  </si>
  <si>
    <t>001</t>
  </si>
  <si>
    <t>002</t>
  </si>
  <si>
    <t>Prestación 001</t>
  </si>
  <si>
    <t>Prestación 002</t>
  </si>
  <si>
    <t>003</t>
  </si>
  <si>
    <t>Prestación 003</t>
  </si>
  <si>
    <t>Codigo</t>
  </si>
  <si>
    <t>Valor01</t>
  </si>
  <si>
    <t>Valor02</t>
  </si>
  <si>
    <t>Valor03</t>
  </si>
  <si>
    <t>Valor04</t>
  </si>
  <si>
    <t>Valor05</t>
  </si>
  <si>
    <t>Valor06</t>
  </si>
  <si>
    <t>Valor07</t>
  </si>
  <si>
    <t>Valor08</t>
  </si>
  <si>
    <t>Valor09</t>
  </si>
  <si>
    <t>Valor10</t>
  </si>
  <si>
    <t>Valor11</t>
  </si>
  <si>
    <t>Valor12</t>
  </si>
  <si>
    <t>Valor13</t>
  </si>
  <si>
    <t>Valor14</t>
  </si>
  <si>
    <t>Valor15</t>
  </si>
  <si>
    <t>Valor16</t>
  </si>
  <si>
    <t>Valor17</t>
  </si>
  <si>
    <t>Valor18</t>
  </si>
  <si>
    <t>Valor19</t>
  </si>
  <si>
    <t>Valor20</t>
  </si>
  <si>
    <t>Valor21</t>
  </si>
  <si>
    <t>Valor22</t>
  </si>
  <si>
    <t>Valor23</t>
  </si>
  <si>
    <t>Valor24</t>
  </si>
  <si>
    <t>Valor25</t>
  </si>
  <si>
    <t>Valor26</t>
  </si>
  <si>
    <t>Valor27</t>
  </si>
  <si>
    <t>Valor28</t>
  </si>
  <si>
    <t>Valor29</t>
  </si>
  <si>
    <t>Valor30</t>
  </si>
  <si>
    <t>Valor31</t>
  </si>
  <si>
    <t>Valor32</t>
  </si>
  <si>
    <t>Valor33</t>
  </si>
  <si>
    <t>Valor34</t>
  </si>
  <si>
    <t>Valor35</t>
  </si>
  <si>
    <t>Valor36</t>
  </si>
  <si>
    <t>Valor37</t>
  </si>
  <si>
    <t>Valor38</t>
  </si>
  <si>
    <t>Valor39</t>
  </si>
  <si>
    <t>Valor40</t>
  </si>
  <si>
    <t>Valor41</t>
  </si>
  <si>
    <t>Valor42</t>
  </si>
  <si>
    <t>Valor43</t>
  </si>
  <si>
    <t>Valor44</t>
  </si>
  <si>
    <t>Valor45</t>
  </si>
  <si>
    <t>Valor46</t>
  </si>
  <si>
    <t>Valor47</t>
  </si>
  <si>
    <t>Valor48</t>
  </si>
  <si>
    <t>Establecimiento</t>
  </si>
  <si>
    <t>Mes</t>
  </si>
  <si>
    <t>Sector</t>
  </si>
  <si>
    <t>Uno (000001)</t>
  </si>
  <si>
    <t>01 enero</t>
  </si>
  <si>
    <t>Norte</t>
  </si>
  <si>
    <t>Dos (000002)</t>
  </si>
  <si>
    <t>02 febrero</t>
  </si>
  <si>
    <t>Sur</t>
  </si>
  <si>
    <t>Cobertura disponible de Serie A 2026</t>
  </si>
  <si>
    <t>Sin evidencia en la base no significa sin entrega. Los archivos completamente en cero pueden no estar registrados.</t>
  </si>
  <si>
    <t>Los segmentadores de FILTRO muestran actividad. Esta hoja incluye todos los establecimientos y meses del año.</t>
  </si>
  <si>
    <t/>
  </si>
  <si>
    <t>Código DEIS</t>
  </si>
  <si>
    <t>Evidencia</t>
  </si>
  <si>
    <t>Reportes</t>
  </si>
  <si>
    <t>000001</t>
  </si>
  <si>
    <t>Uno</t>
  </si>
  <si>
    <t>Con actividad registrada</t>
  </si>
  <si>
    <t>10</t>
  </si>
  <si>
    <t>Reporte con valores cero registrados</t>
  </si>
  <si>
    <t>12</t>
  </si>
  <si>
    <t>03 marzo</t>
  </si>
  <si>
    <t>Sin evidencia en la base</t>
  </si>
  <si>
    <t>04 abril</t>
  </si>
  <si>
    <t>05 mayo</t>
  </si>
  <si>
    <t>06 junio</t>
  </si>
  <si>
    <t>07 julio</t>
  </si>
  <si>
    <t>08 agosto</t>
  </si>
  <si>
    <t>09 septiembre</t>
  </si>
  <si>
    <t>10 octubre</t>
  </si>
  <si>
    <t>11 noviembre</t>
  </si>
  <si>
    <t>12 diciembre</t>
  </si>
  <si>
    <t>000002</t>
  </si>
  <si>
    <t>Dos</t>
  </si>
  <si>
    <t>11</t>
  </si>
  <si>
    <t>000003</t>
  </si>
  <si>
    <t>Sin reporte</t>
  </si>
</sst>
</file>

<file path=xl/styles.xml><?xml version="1.0" encoding="utf-8"?>
<styleSheet xmlns="http://schemas.openxmlformats.org/spreadsheetml/2006/main">
  <numFmts count="1">
    <numFmt numFmtId="164" formatCode="#,##0.########"/>
  </numFmts>
  <fonts count="2">
    <font>
      <sz val="11"/>
      <name val="Aptos Narrow"/>
    </font>
    <font>
      <b/>
      <sz val="11"/>
      <name val="Aptos Narrow"/>
    </font>
  </fonts>
  <fills count="2">
    <fill>
      <patternFill patternType="none"/>
    </fill>
    <fill>
      <patternFill patternType="gray125"/>
    </fill>
  </fills>
  <borders count="1">
    <border>
      <left/>
      <right/>
      <top/>
      <bottom/>
      <diagonal/>
    </border>
  </borders>
  <cellStyleXfs count="1">
    <xf numFmtId="0" fontId="0"/>
  </cellStyleXfs>
  <cellXfs count="5">
    <xf numFmtId="0" fontId="0" xfId="0"/>
    <xf numFmtId="49" applyNumberFormat="1" fontId="0" xfId="0"/>
    <xf numFmtId="0" fontId="1" applyFont="1"/>
    <xf numFmtId="164" applyNumberFormat="1" fontId="0"/>
    <xf numFmtId="0" fontId="0"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worksheet" Target="worksheets/sheet3.xml"/><Relationship Id="rId6" Type="http://schemas.openxmlformats.org/officeDocument/2006/relationships/pivotCacheDefinition" Target="/xl/pivotCache/pivotCacheDefinition1.xml"/><Relationship Id="rId7" Type="http://schemas.microsoft.com/office/2007/relationships/slicerCache" Target="slicerCaches/slicerCache1.xml"/><Relationship Id="rId8" Type="http://schemas.microsoft.com/office/2007/relationships/slicerCache" Target="slicerCaches/slicerCache2.xml"/><Relationship Id="rId9" Type="http://schemas.microsoft.com/office/2007/relationships/slicerCache" Target="slicerCaches/slicerCache3.xml"/><Relationship Id="rId10"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3</xdr:col>
      <xdr:colOff>400050</xdr:colOff>
      <xdr:row>6</xdr:row>
      <xdr:rowOff>533399</xdr:rowOff>
    </xdr:to>
    <mc:AlternateContent xmlns:mc="http://schemas.openxmlformats.org/markup-compatibility/2006" xmlns:a14="http://schemas.microsoft.com/office/drawing/2010/main">
      <mc:Choice Requires="a14">
        <xdr:graphicFrame macro="">
          <xdr:nvGraphicFramePr>
            <xdr:cNvPr id="1" name="Establecimiento">
              <a:extLst>
                <a:ext uri="{FF2B5EF4-FFF2-40B4-BE49-F238E27FC236}">
                  <a16:creationId xmlns:a16="http://schemas.microsoft.com/office/drawing/2014/main" id="{ca261427-edf2-4e89-b523-94786b9ed42a}"/>
                </a:ext>
              </a:extLst>
            </xdr:cNvPr>
            <xdr:cNvGraphicFramePr/>
          </xdr:nvGraphicFramePr>
          <xdr:xfrm>
            <a:off x="0" y="0"/>
            <a:ext cx="0" cy="0"/>
          </xdr:xfrm>
          <a:graphic>
            <a:graphicData uri="http://schemas.microsoft.com/office/drawing/2010/slicer">
              <sle:slicer xmlns:sle="http://schemas.microsoft.com/office/drawing/2010/slicer" name="Establecimiento"/>
            </a:graphicData>
          </a:graphic>
        </xdr:graphicFrame>
      </mc:Choice>
      <mc:Fallback>
        <xdr:sp macro="" textlink="">
          <xdr:nvSpPr>
            <xdr:cNvPr id="1" name="{ca261427-edf2-4e89-b523-94786b9ed42a}"/>
            <xdr:cNvSpPr>
              <a:spLocks noTextEdit="1"/>
            </xdr:cNvSpPr>
          </xdr:nvSpPr>
          <xdr:spPr>
            <a:xfrm>
              <a:off x="12506325" y="3238500"/>
              <a:ext cx="1828800" cy="2524125"/>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clientData xmlns="http://schemas.openxmlformats.org/drawingml/2006/spreadsheetDrawing"/>
  </xdr:twoCellAnchor>
  <xdr:twoCellAnchor editAs="oneCell">
    <xdr:from>
      <xdr:col>4</xdr:col>
      <xdr:colOff>0</xdr:colOff>
      <xdr:row>3</xdr:row>
      <xdr:rowOff>0</xdr:rowOff>
    </xdr:from>
    <xdr:to>
      <xdr:col>6</xdr:col>
      <xdr:colOff>647700</xdr:colOff>
      <xdr:row>6</xdr:row>
      <xdr:rowOff>533399</xdr:rowOff>
    </xdr:to>
    <mc:AlternateContent xmlns:mc="http://schemas.openxmlformats.org/markup-compatibility/2006" xmlns:a14="http://schemas.microsoft.com/office/drawing/2010/main">
      <mc:Choice Requires="a14">
        <xdr:graphicFrame macro="">
          <xdr:nvGraphicFramePr>
            <xdr:cNvPr id="2" name="Mes">
              <a:extLst>
                <a:ext uri="{FF2B5EF4-FFF2-40B4-BE49-F238E27FC236}">
                  <a16:creationId xmlns:a16="http://schemas.microsoft.com/office/drawing/2014/main" id="{6d793cc6-9be4-417f-9608-cda1af92a501}"/>
                </a:ext>
              </a:extLst>
            </xdr:cNvPr>
            <xdr:cNvGraphicFramePr/>
          </xdr:nvGraphicFramePr>
          <xdr:xfrm>
            <a:off x="0" y="0"/>
            <a:ext cx="0" cy="0"/>
          </xdr:xfrm>
          <a:graphic>
            <a:graphicData uri="http://schemas.microsoft.com/office/drawing/2010/slicer">
              <sle:slicer xmlns:sle="http://schemas.microsoft.com/office/drawing/2010/slicer" name="Mes"/>
            </a:graphicData>
          </a:graphic>
        </xdr:graphicFrame>
      </mc:Choice>
      <mc:Fallback>
        <xdr:sp macro="" textlink="">
          <xdr:nvSpPr>
            <xdr:cNvPr id="2" name="{6d793cc6-9be4-417f-9608-cda1af92a501}"/>
            <xdr:cNvSpPr>
              <a:spLocks noTextEdit="1"/>
            </xdr:cNvSpPr>
          </xdr:nvSpPr>
          <xdr:spPr>
            <a:xfrm>
              <a:off x="12506325" y="3238500"/>
              <a:ext cx="1828800" cy="2524125"/>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clientData xmlns="http://schemas.openxmlformats.org/drawingml/2006/spreadsheetDrawing"/>
  </xdr:twoCellAnchor>
  <xdr:twoCellAnchor editAs="oneCell">
    <xdr:from>
      <xdr:col>8</xdr:col>
      <xdr:colOff>0</xdr:colOff>
      <xdr:row>3</xdr:row>
      <xdr:rowOff>0</xdr:rowOff>
    </xdr:from>
    <xdr:to>
      <xdr:col>10</xdr:col>
      <xdr:colOff>647700</xdr:colOff>
      <xdr:row>6</xdr:row>
      <xdr:rowOff>533399</xdr:rowOff>
    </xdr:to>
    <mc:AlternateContent xmlns:mc="http://schemas.openxmlformats.org/markup-compatibility/2006" xmlns:a14="http://schemas.microsoft.com/office/drawing/2010/main">
      <mc:Choice Requires="a14">
        <xdr:graphicFrame macro="">
          <xdr:nvGraphicFramePr>
            <xdr:cNvPr id="3" name="Sector">
              <a:extLst>
                <a:ext uri="{FF2B5EF4-FFF2-40B4-BE49-F238E27FC236}">
                  <a16:creationId xmlns:a16="http://schemas.microsoft.com/office/drawing/2014/main" id="{0d30bb14-0194-4c66-af24-b3f201e74a7d}"/>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dr:sp macro="" textlink="">
          <xdr:nvSpPr>
            <xdr:cNvPr id="3" name="{0d30bb14-0194-4c66-af24-b3f201e74a7d}"/>
            <xdr:cNvSpPr>
              <a:spLocks noTextEdit="1"/>
            </xdr:cNvSpPr>
          </xdr:nvSpPr>
          <xdr:spPr>
            <a:xfrm>
              <a:off x="12506325" y="3238500"/>
              <a:ext cx="1828800" cy="2524125"/>
            </a:xfrm>
            <a:prstGeom prst="rect">
              <a:avLst/>
            </a:prstGeom>
            <a:solidFill>
              <a:prstClr val="white"/>
            </a:solidFill>
            <a:ln w="1">
              <a:solidFill>
                <a:prstClr val="green"/>
              </a:solidFill>
            </a:ln>
          </xdr:spPr>
          <xdr:txBody>
            <a:bodyPr vertOverflow="clip" horzOverflow="clip"/>
            <a:lstStyle/>
            <a:p>
              <a:r>
                <a:rPr lang="sv-SE" sz="1100"/>
                <a:t>This shape represents a slicer. Slicers are supported in Excel 2010 or later. If the shape was modified in an earlier version of Excel, or if the workbook was saved in Excel 2003 or earlier, the slicer cannot be used.</a:t>
              </a:r>
            </a:p>
          </xdr:txBody>
        </xdr:sp>
      </mc:Fallback>
    </mc:AlternateContent>
    <clientData xmlns="http://schemas.openxmlformats.org/drawingml/2006/spreadsheetDrawing"/>
  </xdr:twoCellAnchor>
</xdr:wsDr>
</file>

<file path=xl/pivotCache/_rels/pivotCacheDefinition1.xml.rels><?xml version="1.0" encoding="UTF-8" standalone="yes"?><Relationships xmlns="http://schemas.openxmlformats.org/package/2006/relationships"><Relationship Id="rId1" Type="http://schemas.openxmlformats.org/officeDocument/2006/relationships/pivotCacheRecords" Target="/xl/pivotCache/pivotCacheRecords1.xml"/></Relationships>
</file>

<file path=xl/pivotCache/pivotCacheDefinition1.xml><?xml version="1.0" encoding="utf-8"?>
<pivotCacheDefinition xmlns="http://schemas.openxmlformats.org/spreadsheetml/2006/main" xmlns:r="http://schemas.openxmlformats.org/officeDocument/2006/relationships" r:id="rId1" refreshOnLoad="0" refreshedBy="REMTool" refreshedDate="46274.52405346065" createdVersion="6" refreshedVersion="6" recordCount="3" upgradeOnRefresh="1" saveData="1">
  <cacheSource type="worksheet">
    <worksheetSource name="DatosConsolidado"/>
  </cacheSource>
  <cacheFields count="52">
    <cacheField name="Codigo" numFmtId="0">
      <sharedItems count="2">
        <s v="001"/>
        <s v="002"/>
      </sharedItems>
    </cacheField>
    <cacheField name="Valor01" numFmtId="0">
      <sharedItems count="0" containsSemiMixedTypes="0" containsString="0" containsNumber="1" containsInteger="1"/>
    </cacheField>
    <cacheField name="Valor02" numFmtId="0">
      <sharedItems count="0" containsSemiMixedTypes="0" containsString="0" containsNumber="1" containsInteger="1"/>
    </cacheField>
    <cacheField name="Valor03" numFmtId="0">
      <sharedItems count="0" containsSemiMixedTypes="0" containsString="0" containsNumber="1" containsInteger="1"/>
    </cacheField>
    <cacheField name="Valor04" numFmtId="0">
      <sharedItems count="0" containsSemiMixedTypes="0" containsString="0" containsNumber="1" containsInteger="1"/>
    </cacheField>
    <cacheField name="Valor05" numFmtId="0">
      <sharedItems count="0" containsSemiMixedTypes="0" containsString="0" containsNumber="1" containsInteger="1"/>
    </cacheField>
    <cacheField name="Valor06" numFmtId="0">
      <sharedItems count="0" containsSemiMixedTypes="0" containsString="0" containsNumber="1" containsInteger="1"/>
    </cacheField>
    <cacheField name="Valor07" numFmtId="0">
      <sharedItems count="0" containsSemiMixedTypes="0" containsString="0" containsNumber="1" containsInteger="1"/>
    </cacheField>
    <cacheField name="Valor08" numFmtId="0">
      <sharedItems count="0" containsSemiMixedTypes="0" containsString="0" containsNumber="1" containsInteger="1"/>
    </cacheField>
    <cacheField name="Valor09" numFmtId="0">
      <sharedItems count="0" containsSemiMixedTypes="0" containsString="0" containsNumber="1" containsInteger="1"/>
    </cacheField>
    <cacheField name="Valor10" numFmtId="0">
      <sharedItems count="0" containsSemiMixedTypes="0" containsString="0" containsNumber="1" containsInteger="1"/>
    </cacheField>
    <cacheField name="Valor11" numFmtId="0">
      <sharedItems count="0" containsSemiMixedTypes="0" containsString="0" containsNumber="1" containsInteger="1"/>
    </cacheField>
    <cacheField name="Valor12" numFmtId="0">
      <sharedItems count="0" containsSemiMixedTypes="0" containsString="0" containsNumber="1" containsInteger="1"/>
    </cacheField>
    <cacheField name="Valor13" numFmtId="0">
      <sharedItems count="0" containsSemiMixedTypes="0" containsString="0" containsNumber="1" containsInteger="1"/>
    </cacheField>
    <cacheField name="Valor14" numFmtId="0">
      <sharedItems count="0" containsSemiMixedTypes="0" containsString="0" containsNumber="1" containsInteger="1"/>
    </cacheField>
    <cacheField name="Valor15" numFmtId="0">
      <sharedItems count="0" containsSemiMixedTypes="0" containsString="0" containsNumber="1" containsInteger="1"/>
    </cacheField>
    <cacheField name="Valor16" numFmtId="0">
      <sharedItems count="0" containsSemiMixedTypes="0" containsString="0" containsNumber="1" containsInteger="1"/>
    </cacheField>
    <cacheField name="Valor17" numFmtId="0">
      <sharedItems count="0" containsSemiMixedTypes="0" containsString="0" containsNumber="1" containsInteger="1"/>
    </cacheField>
    <cacheField name="Valor18" numFmtId="0">
      <sharedItems count="0" containsSemiMixedTypes="0" containsString="0" containsNumber="1" containsInteger="1"/>
    </cacheField>
    <cacheField name="Valor19" numFmtId="0">
      <sharedItems count="0" containsSemiMixedTypes="0" containsString="0" containsNumber="1" containsInteger="1"/>
    </cacheField>
    <cacheField name="Valor20" numFmtId="0">
      <sharedItems count="0" containsSemiMixedTypes="0" containsString="0" containsNumber="1" containsInteger="1"/>
    </cacheField>
    <cacheField name="Valor21" numFmtId="0">
      <sharedItems count="0" containsSemiMixedTypes="0" containsString="0" containsNumber="1" containsInteger="1"/>
    </cacheField>
    <cacheField name="Valor22" numFmtId="0">
      <sharedItems count="0" containsSemiMixedTypes="0" containsString="0" containsNumber="1" containsInteger="1"/>
    </cacheField>
    <cacheField name="Valor23" numFmtId="0">
      <sharedItems count="0" containsSemiMixedTypes="0" containsString="0" containsNumber="1" containsInteger="1"/>
    </cacheField>
    <cacheField name="Valor24" numFmtId="0">
      <sharedItems count="0" containsSemiMixedTypes="0" containsString="0" containsNumber="1" containsInteger="1"/>
    </cacheField>
    <cacheField name="Valor25" numFmtId="0">
      <sharedItems count="0" containsSemiMixedTypes="0" containsString="0" containsNumber="1" containsInteger="1"/>
    </cacheField>
    <cacheField name="Valor26" numFmtId="0">
      <sharedItems count="0" containsSemiMixedTypes="0" containsString="0" containsNumber="1" containsInteger="1"/>
    </cacheField>
    <cacheField name="Valor27" numFmtId="0">
      <sharedItems count="0" containsSemiMixedTypes="0" containsString="0" containsNumber="1" containsInteger="1"/>
    </cacheField>
    <cacheField name="Valor28" numFmtId="0">
      <sharedItems count="0" containsSemiMixedTypes="0" containsString="0" containsNumber="1" containsInteger="1"/>
    </cacheField>
    <cacheField name="Valor29" numFmtId="0">
      <sharedItems count="0" containsSemiMixedTypes="0" containsString="0" containsNumber="1" containsInteger="1"/>
    </cacheField>
    <cacheField name="Valor30" numFmtId="0">
      <sharedItems count="0" containsSemiMixedTypes="0" containsString="0" containsNumber="1" containsInteger="1"/>
    </cacheField>
    <cacheField name="Valor31" numFmtId="0">
      <sharedItems count="0" containsSemiMixedTypes="0" containsString="0" containsNumber="1" containsInteger="1"/>
    </cacheField>
    <cacheField name="Valor32" numFmtId="0">
      <sharedItems count="0" containsSemiMixedTypes="0" containsString="0" containsNumber="1" containsInteger="1"/>
    </cacheField>
    <cacheField name="Valor33" numFmtId="0">
      <sharedItems count="0" containsSemiMixedTypes="0" containsString="0" containsNumber="1" containsInteger="1"/>
    </cacheField>
    <cacheField name="Valor34" numFmtId="0">
      <sharedItems count="0" containsSemiMixedTypes="0" containsString="0" containsNumber="1" containsInteger="1"/>
    </cacheField>
    <cacheField name="Valor35" numFmtId="0">
      <sharedItems count="0" containsSemiMixedTypes="0" containsString="0" containsNumber="1" containsInteger="1"/>
    </cacheField>
    <cacheField name="Valor36" numFmtId="0">
      <sharedItems count="0" containsSemiMixedTypes="0" containsString="0" containsNumber="1" containsInteger="1"/>
    </cacheField>
    <cacheField name="Valor37" numFmtId="0">
      <sharedItems count="0" containsSemiMixedTypes="0" containsString="0" containsNumber="1" containsInteger="1"/>
    </cacheField>
    <cacheField name="Valor38" numFmtId="0">
      <sharedItems count="0" containsSemiMixedTypes="0" containsString="0" containsNumber="1" containsInteger="1"/>
    </cacheField>
    <cacheField name="Valor39" numFmtId="0">
      <sharedItems count="0" containsSemiMixedTypes="0" containsString="0" containsNumber="1" containsInteger="1"/>
    </cacheField>
    <cacheField name="Valor40" numFmtId="0">
      <sharedItems count="0" containsSemiMixedTypes="0" containsString="0" containsNumber="1" containsInteger="1"/>
    </cacheField>
    <cacheField name="Valor41" numFmtId="0">
      <sharedItems count="0" containsSemiMixedTypes="0" containsString="0" containsNumber="1" containsInteger="1"/>
    </cacheField>
    <cacheField name="Valor42" numFmtId="0">
      <sharedItems count="0" containsSemiMixedTypes="0" containsString="0" containsNumber="1" containsInteger="1"/>
    </cacheField>
    <cacheField name="Valor43" numFmtId="0">
      <sharedItems count="0" containsSemiMixedTypes="0" containsString="0" containsNumber="1" containsInteger="1"/>
    </cacheField>
    <cacheField name="Valor44" numFmtId="0">
      <sharedItems count="0" containsSemiMixedTypes="0" containsString="0" containsNumber="1" containsInteger="1"/>
    </cacheField>
    <cacheField name="Valor45" numFmtId="0">
      <sharedItems count="0" containsSemiMixedTypes="0" containsString="0" containsNumber="1" containsInteger="1"/>
    </cacheField>
    <cacheField name="Valor46" numFmtId="0">
      <sharedItems count="0" containsSemiMixedTypes="0" containsString="0" containsNumber="1" containsInteger="1"/>
    </cacheField>
    <cacheField name="Valor47" numFmtId="0">
      <sharedItems count="0" containsSemiMixedTypes="0" containsString="0" containsNumber="1" containsInteger="1"/>
    </cacheField>
    <cacheField name="Valor48" numFmtId="0">
      <sharedItems count="0" containsSemiMixedTypes="0" containsString="0" containsNumber="1" containsInteger="1"/>
    </cacheField>
    <cacheField name="Establecimiento" numFmtId="0">
      <sharedItems count="2">
        <s v="Uno (000001)"/>
        <s v="Dos (000002)"/>
      </sharedItems>
    </cacheField>
    <cacheField name="Mes" numFmtId="0">
      <sharedItems count="2">
        <s v="01 enero"/>
        <s v="02 febrero"/>
      </sharedItems>
    </cacheField>
    <cacheField name="Sector" numFmtId="0">
      <sharedItems count="2">
        <s v="Norte"/>
        <s v="Sur"/>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count="3">
  <r>
    <x v="0"/>
    <n v="26"/>
    <n v="5"/>
    <n v="0"/>
    <n v="0"/>
    <n v="0"/>
    <n v="0"/>
    <n v="0"/>
    <n v="0"/>
    <n v="0"/>
    <n v="0"/>
    <n v="0"/>
    <n v="0"/>
    <n v="0"/>
    <n v="0"/>
    <n v="0"/>
    <n v="0"/>
    <n v="0"/>
    <n v="0"/>
    <n v="0"/>
    <n v="0"/>
    <n v="0"/>
    <n v="0"/>
    <n v="0"/>
    <n v="0"/>
    <n v="0"/>
    <n v="0"/>
    <n v="0"/>
    <n v="0"/>
    <n v="0"/>
    <n v="0"/>
    <n v="0"/>
    <n v="0"/>
    <n v="0"/>
    <n v="0"/>
    <n v="0"/>
    <n v="0"/>
    <n v="0"/>
    <n v="0"/>
    <n v="0"/>
    <n v="0"/>
    <n v="0"/>
    <n v="0"/>
    <n v="0"/>
    <n v="0"/>
    <n v="0"/>
    <n v="6"/>
    <n v="7"/>
    <n v="8"/>
    <x v="0"/>
    <x v="0"/>
    <x v="0"/>
  </r>
  <r>
    <x v="0"/>
    <n v="24"/>
    <n v="3"/>
    <n v="0"/>
    <n v="0"/>
    <n v="0"/>
    <n v="0"/>
    <n v="0"/>
    <n v="0"/>
    <n v="0"/>
    <n v="0"/>
    <n v="0"/>
    <n v="0"/>
    <n v="0"/>
    <n v="0"/>
    <n v="0"/>
    <n v="0"/>
    <n v="0"/>
    <n v="0"/>
    <n v="0"/>
    <n v="0"/>
    <n v="0"/>
    <n v="0"/>
    <n v="0"/>
    <n v="0"/>
    <n v="0"/>
    <n v="0"/>
    <n v="0"/>
    <n v="0"/>
    <n v="0"/>
    <n v="0"/>
    <n v="0"/>
    <n v="0"/>
    <n v="0"/>
    <n v="0"/>
    <n v="0"/>
    <n v="0"/>
    <n v="0"/>
    <n v="0"/>
    <n v="0"/>
    <n v="0"/>
    <n v="0"/>
    <n v="0"/>
    <n v="0"/>
    <n v="0"/>
    <n v="0"/>
    <n v="6"/>
    <n v="7"/>
    <n v="8"/>
    <x v="1"/>
    <x v="1"/>
    <x v="1"/>
  </r>
  <r>
    <x v="1"/>
    <n v="25"/>
    <n v="4"/>
    <n v="0"/>
    <n v="0"/>
    <n v="0"/>
    <n v="0"/>
    <n v="0"/>
    <n v="0"/>
    <n v="0"/>
    <n v="0"/>
    <n v="0"/>
    <n v="0"/>
    <n v="0"/>
    <n v="0"/>
    <n v="0"/>
    <n v="0"/>
    <n v="0"/>
    <n v="0"/>
    <n v="0"/>
    <n v="0"/>
    <n v="0"/>
    <n v="0"/>
    <n v="0"/>
    <n v="0"/>
    <n v="0"/>
    <n v="0"/>
    <n v="0"/>
    <n v="0"/>
    <n v="0"/>
    <n v="0"/>
    <n v="0"/>
    <n v="0"/>
    <n v="0"/>
    <n v="0"/>
    <n v="0"/>
    <n v="0"/>
    <n v="0"/>
    <n v="0"/>
    <n v="0"/>
    <n v="0"/>
    <n v="0"/>
    <n v="0"/>
    <n v="0"/>
    <n v="0"/>
    <n v="0"/>
    <n v="6"/>
    <n v="7"/>
    <n v="8"/>
    <x v="0"/>
    <x v="0"/>
    <x v="0"/>
  </r>
</pivotCacheRecords>
</file>

<file path=xl/pivotTables/_rels/pivotTable1.xml.rels><?xml version="1.0" encoding="UTF-8" standalone="yes"?><Relationships xmlns="http://schemas.openxmlformats.org/package/2006/relationships"><Relationship Id="rId1" Type="http://schemas.openxmlformats.org/officeDocument/2006/relationships/pivotCacheDefinition" Target="/xl/pivotCache/pivotCacheDefinition1.xml"/></Relationships>
</file>

<file path=xl/pivotTables/pivotTable1.xml><?xml version="1.0" encoding="utf-8"?>
<pivotTableDefinition xmlns="http://schemas.openxmlformats.org/spreadsheetml/2006/main" name="ConsolidadoREM" dataOnRows="0" applyNumberFormats="0" applyBorderFormats="0" applyFontFormats="0" applyPatternFormats="0" applyAlignmentFormats="0" applyWidthHeightFormats="1" dataCaption="Data" createdVersion="6" updatedVersion="6" showMemberPropertyTips="0" useAutoFormatting="1" itemPrintTitles="1" indent="0" compact="0" compactData="0" gridDropZones="1" cacheId="1" rowGrandTotals="0" colGrandTotals="0" outline="0">
  <location ref="A9:AW11" firstHeaderRow="0" firstDataRow="1" firstDataCol="1"/>
  <pivotFields count="52">
    <pivotField showAll="0" axis="axisRow" sortType="ascending" defaultSubtotal="0">
      <items count="2">
        <item x="0"/>
        <item x="1"/>
      </items>
    </pivotField>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ataField="1" defaultSubtotal="1"/>
    <pivotField showAll="0" defaultSubtotal="1">
      <items count="3">
        <item x="0"/>
        <item x="1"/>
        <item t="default"/>
      </items>
    </pivotField>
    <pivotField showAll="0" defaultSubtotal="1">
      <items count="3">
        <item x="0"/>
        <item x="1"/>
        <item t="default"/>
      </items>
    </pivotField>
    <pivotField showAll="0" defaultSubtotal="1">
      <items count="3">
        <item x="0"/>
        <item x="1"/>
        <item t="default"/>
      </items>
    </pivotField>
  </pivotFields>
  <rowFields>
    <field x="0"/>
  </rowFields>
  <rowItems count="2">
    <i>
      <x v="0"/>
    </i>
    <i>
      <x v="1"/>
    </i>
  </rowItems>
  <colFields>
    <field x="-2"/>
  </colFields>
  <colItems count="48">
    <i i="0">
      <x v="0"/>
    </i>
    <i i="1">
      <x v="1"/>
    </i>
    <i i="2">
      <x v="2"/>
    </i>
    <i i="3">
      <x v="3"/>
    </i>
    <i i="4">
      <x v="4"/>
    </i>
    <i i="5">
      <x v="5"/>
    </i>
    <i i="6">
      <x v="6"/>
    </i>
    <i i="7">
      <x v="7"/>
    </i>
    <i i="8">
      <x v="8"/>
    </i>
    <i i="9">
      <x v="9"/>
    </i>
    <i i="10">
      <x v="10"/>
    </i>
    <i i="11">
      <x v="11"/>
    </i>
    <i i="12">
      <x v="12"/>
    </i>
    <i i="13">
      <x v="13"/>
    </i>
    <i i="14">
      <x v="14"/>
    </i>
    <i i="15">
      <x v="15"/>
    </i>
    <i i="16">
      <x v="16"/>
    </i>
    <i i="17">
      <x v="17"/>
    </i>
    <i i="18">
      <x v="18"/>
    </i>
    <i i="19">
      <x v="19"/>
    </i>
    <i i="20">
      <x v="20"/>
    </i>
    <i i="21">
      <x v="21"/>
    </i>
    <i i="22">
      <x v="22"/>
    </i>
    <i i="23">
      <x v="23"/>
    </i>
    <i i="24">
      <x v="24"/>
    </i>
    <i i="25">
      <x v="25"/>
    </i>
    <i i="26">
      <x v="26"/>
    </i>
    <i i="27">
      <x v="27"/>
    </i>
    <i i="28">
      <x v="28"/>
    </i>
    <i i="29">
      <x v="29"/>
    </i>
    <i i="30">
      <x v="30"/>
    </i>
    <i i="31">
      <x v="31"/>
    </i>
    <i i="32">
      <x v="32"/>
    </i>
    <i i="33">
      <x v="33"/>
    </i>
    <i i="34">
      <x v="34"/>
    </i>
    <i i="35">
      <x v="35"/>
    </i>
    <i i="36">
      <x v="36"/>
    </i>
    <i i="37">
      <x v="37"/>
    </i>
    <i i="38">
      <x v="38"/>
    </i>
    <i i="39">
      <x v="39"/>
    </i>
    <i i="40">
      <x v="40"/>
    </i>
    <i i="41">
      <x v="41"/>
    </i>
    <i i="42">
      <x v="42"/>
    </i>
    <i i="43">
      <x v="43"/>
    </i>
    <i i="44">
      <x v="44"/>
    </i>
    <i i="45">
      <x v="45"/>
    </i>
    <i i="46">
      <x v="46"/>
    </i>
    <i i="47">
      <x v="47"/>
    </i>
  </colItems>
  <dataFields>
    <dataField fld="1" subtotal="sum" name="Suma de valor.1" numFmtId="164"/>
    <dataField fld="2" subtotal="sum" name="Suma de valor.2" numFmtId="164"/>
    <dataField fld="3" subtotal="sum" name="Suma de valor.3" numFmtId="164"/>
    <dataField fld="4" subtotal="sum" name="Suma de valor.4" numFmtId="164"/>
    <dataField fld="5" subtotal="sum" name="Suma de valor.5" numFmtId="164"/>
    <dataField fld="6" subtotal="sum" name="Suma de valor.6" numFmtId="164"/>
    <dataField fld="7" subtotal="sum" name="Suma de valor.7" numFmtId="164"/>
    <dataField fld="8" subtotal="sum" name="Suma de valor.8" numFmtId="164"/>
    <dataField fld="9" subtotal="sum" name="Suma de valor.9" numFmtId="164"/>
    <dataField fld="10" subtotal="sum" name="Suma de valor.10" numFmtId="164"/>
    <dataField fld="11" subtotal="sum" name="Suma de valor.11" numFmtId="164"/>
    <dataField fld="12" subtotal="sum" name="Suma de valor.12" numFmtId="164"/>
    <dataField fld="13" subtotal="sum" name="Suma de valor.13" numFmtId="164"/>
    <dataField fld="14" subtotal="sum" name="Suma de valor.14" numFmtId="164"/>
    <dataField fld="15" subtotal="sum" name="Suma de valor.15" numFmtId="164"/>
    <dataField fld="16" subtotal="sum" name="Suma de valor.16" numFmtId="164"/>
    <dataField fld="17" subtotal="sum" name="Suma de valor.17" numFmtId="164"/>
    <dataField fld="18" subtotal="sum" name="Suma de valor.18" numFmtId="164"/>
    <dataField fld="19" subtotal="sum" name="Suma de valor.19" numFmtId="164"/>
    <dataField fld="20" subtotal="sum" name="Suma de valor.20" numFmtId="164"/>
    <dataField fld="21" subtotal="sum" name="Suma de valor.21" numFmtId="164"/>
    <dataField fld="22" subtotal="sum" name="Suma de valor.22" numFmtId="164"/>
    <dataField fld="23" subtotal="sum" name="Suma de valor.23" numFmtId="164"/>
    <dataField fld="24" subtotal="sum" name="Suma de valor.24" numFmtId="164"/>
    <dataField fld="25" subtotal="sum" name="Suma de valor.25" numFmtId="164"/>
    <dataField fld="26" subtotal="sum" name="Suma de valor.26" numFmtId="164"/>
    <dataField fld="27" subtotal="sum" name="Suma de valor.27" numFmtId="164"/>
    <dataField fld="28" subtotal="sum" name="Suma de valor.28" numFmtId="164"/>
    <dataField fld="29" subtotal="sum" name="Suma de valor.29" numFmtId="164"/>
    <dataField fld="30" subtotal="sum" name="Suma de valor.30" numFmtId="164"/>
    <dataField fld="31" subtotal="sum" name="Suma de valor.31" numFmtId="164"/>
    <dataField fld="32" subtotal="sum" name="Suma de valor.32" numFmtId="164"/>
    <dataField fld="33" subtotal="sum" name="Suma de valor.33" numFmtId="164"/>
    <dataField fld="34" subtotal="sum" name="Suma de valor.34" numFmtId="164"/>
    <dataField fld="35" subtotal="sum" name="Suma de valor.35" numFmtId="164"/>
    <dataField fld="36" subtotal="sum" name="Suma de valor.36" numFmtId="164"/>
    <dataField fld="37" subtotal="sum" name="Suma de valor.37" numFmtId="164"/>
    <dataField fld="38" subtotal="sum" name="Suma de valor.38" numFmtId="164"/>
    <dataField fld="39" subtotal="sum" name="Suma de valor.39" numFmtId="164"/>
    <dataField fld="40" subtotal="sum" name="Suma de valor.40" numFmtId="164"/>
    <dataField fld="41" subtotal="sum" name="Suma de valor.41" numFmtId="164"/>
    <dataField fld="42" subtotal="sum" name="Suma de valor.42" numFmtId="164"/>
    <dataField fld="43" subtotal="sum" name="Suma de valor.43" numFmtId="164"/>
    <dataField fld="44" subtotal="sum" name="Suma de valor.44" numFmtId="164"/>
    <dataField fld="45" subtotal="sum" name="Suma de valor.45" numFmtId="164"/>
    <dataField fld="46" subtotal="sum" name="Suma de valor.46" numFmtId="164"/>
    <dataField fld="47" subtotal="sum" name="Suma de valor.47" numFmtId="164"/>
    <dataField fld="48" subtotal="sum" name="Suma de valor.48" numFmtId="164"/>
  </dataFields>
  <pivotTableStyleInfo name="PivotStyleMedium9"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xr10="http://schemas.microsoft.com/office/spreadsheetml/2016/revision10" xmlns:x="http://schemas.openxmlformats.org/spreadsheetml/2006/main" xmlns:mc="http://schemas.openxmlformats.org/markup-compatibility/2006" xmlns="http://schemas.microsoft.com/office/spreadsheetml/2009/9/main" sourceName="Establecimiento" xr10:uid="{6002b8e5-4267-4821-bfd5-01ba49b8d8e1}" name="Slicer_Establecimiento" mc:Ignorable="x xr10">
  <pivotTables>
    <pivotTable name="ConsolidadoREM" tabId="1"/>
  </pivotTables>
  <data>
    <tabular pivotCacheId="1">
      <items count="2">
        <i x="1" s="1"/>
        <i x="0" s="1"/>
      </items>
    </tabular>
  </data>
</slicerCacheDefinition>
</file>

<file path=xl/slicerCaches/slicerCache2.xml><?xml version="1.0" encoding="utf-8"?>
<slicerCacheDefinition xmlns:xr10="http://schemas.microsoft.com/office/spreadsheetml/2016/revision10" xmlns:x="http://schemas.openxmlformats.org/spreadsheetml/2006/main" xmlns:mc="http://schemas.openxmlformats.org/markup-compatibility/2006" xmlns="http://schemas.microsoft.com/office/spreadsheetml/2009/9/main" sourceName="Mes" xr10:uid="{07fd8e68-2f37-49d9-8a8e-c6a6315597f7}" name="Slicer_Mes" mc:Ignorable="x xr10">
  <pivotTables>
    <pivotTable name="ConsolidadoREM" tabId="1"/>
  </pivotTables>
  <data>
    <tabular pivotCacheId="1">
      <items count="2">
        <i x="0" s="1"/>
        <i x="1" s="1"/>
      </items>
    </tabular>
  </data>
</slicerCacheDefinition>
</file>

<file path=xl/slicerCaches/slicerCache3.xml><?xml version="1.0" encoding="utf-8"?>
<slicerCacheDefinition xmlns:xr10="http://schemas.microsoft.com/office/spreadsheetml/2016/revision10" xmlns:x="http://schemas.openxmlformats.org/spreadsheetml/2006/main" xmlns:mc="http://schemas.openxmlformats.org/markup-compatibility/2006" xmlns="http://schemas.microsoft.com/office/spreadsheetml/2009/9/main" sourceName="Sector" xr10:uid="{1e2542d5-9ed6-4549-98e8-eb5c4f753258}" name="Slicer_Sector" mc:Ignorable="x xr10">
  <pivotTables>
    <pivotTable name="ConsolidadoREM" tabId="1"/>
  </pivotTables>
  <data>
    <tabular pivotCacheId="1">
      <items count="2">
        <i x="0" s="1"/>
        <i x="1" s="1"/>
      </items>
    </tabular>
  </data>
</slicerCacheDefinition>
</file>

<file path=xl/slicers/slicer1.xml><?xml version="1.0" encoding="utf-8"?>
<slicers xmlns:xr10="http://schemas.microsoft.com/office/spreadsheetml/2016/revision10" xmlns:x="http://schemas.openxmlformats.org/spreadsheetml/2006/main" xmlns:mc="http://schemas.openxmlformats.org/markup-compatibility/2006" xmlns="http://schemas.microsoft.com/office/spreadsheetml/2009/9/main" mc:Ignorable="x xr10">
  <slicer name="Establecimiento" caption="Establecimiento" rowHeight="241300" cache="Slicer_Establecimiento"/>
  <slicer name="Mes" caption="Mes" rowHeight="241300" cache="Slicer_Mes"/>
  <slicer name="Sector" caption="Sector" rowHeight="241300" cache="Slicer_Sector"/>
</slicers>
</file>

<file path=xl/tables/table1.xml><?xml version="1.0" encoding="utf-8"?>
<table xmlns="http://schemas.openxmlformats.org/spreadsheetml/2006/main" id="1" name="DatosConsolidado" displayName="DatosConsolidado" ref="A1:AZ4" headerRowCount="1">
  <autoFilter ref="A1:AZ4"/>
  <tableColumns count="52">
    <tableColumn id="1" name="Codigo"/>
    <tableColumn id="2" name="Valor01"/>
    <tableColumn id="3" name="Valor02"/>
    <tableColumn id="4" name="Valor03"/>
    <tableColumn id="5" name="Valor04"/>
    <tableColumn id="6" name="Valor05"/>
    <tableColumn id="7" name="Valor06"/>
    <tableColumn id="8" name="Valor07"/>
    <tableColumn id="9" name="Valor08"/>
    <tableColumn id="10" name="Valor09"/>
    <tableColumn id="11" name="Valor10"/>
    <tableColumn id="12" name="Valor11"/>
    <tableColumn id="13" name="Valor12"/>
    <tableColumn id="14" name="Valor13"/>
    <tableColumn id="15" name="Valor14"/>
    <tableColumn id="16" name="Valor15"/>
    <tableColumn id="17" name="Valor16"/>
    <tableColumn id="18" name="Valor17"/>
    <tableColumn id="19" name="Valor18"/>
    <tableColumn id="20" name="Valor19"/>
    <tableColumn id="21" name="Valor20"/>
    <tableColumn id="22" name="Valor21"/>
    <tableColumn id="23" name="Valor22"/>
    <tableColumn id="24" name="Valor23"/>
    <tableColumn id="25" name="Valor24"/>
    <tableColumn id="26" name="Valor25"/>
    <tableColumn id="27" name="Valor26"/>
    <tableColumn id="28" name="Valor27"/>
    <tableColumn id="29" name="Valor28"/>
    <tableColumn id="30" name="Valor29"/>
    <tableColumn id="31" name="Valor30"/>
    <tableColumn id="32" name="Valor31"/>
    <tableColumn id="33" name="Valor32"/>
    <tableColumn id="34" name="Valor33"/>
    <tableColumn id="35" name="Valor34"/>
    <tableColumn id="36" name="Valor35"/>
    <tableColumn id="37" name="Valor36"/>
    <tableColumn id="38" name="Valor37"/>
    <tableColumn id="39" name="Valor38"/>
    <tableColumn id="40" name="Valor39"/>
    <tableColumn id="41" name="Valor40"/>
    <tableColumn id="42" name="Valor41"/>
    <tableColumn id="43" name="Valor42"/>
    <tableColumn id="44" name="Valor43"/>
    <tableColumn id="45" name="Valor44"/>
    <tableColumn id="46" name="Valor45"/>
    <tableColumn id="47" name="Valor46"/>
    <tableColumn id="48" name="Valor47"/>
    <tableColumn id="49" name="Valor48"/>
    <tableColumn id="50" name="Establecimiento"/>
    <tableColumn id="51" name="Mes"/>
    <tableColumn id="52" name="Sector"/>
  </tableColumns>
  <tableStyleInfo name="TableStyleMedium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pivotTable" Target="/xl/pivotTables/pivotTable1.xml"/><Relationship Id="rId2" Type="http://schemas.openxmlformats.org/officeDocument/2006/relationships/drawing" Target="../drawings/drawing1.xml"/><Relationship Id="rId3" Type="http://schemas.microsoft.com/office/2007/relationships/slicer" Target="../slicers/slicer1.xml"/></Relationships>
</file>

<file path=xl/worksheets/_rels/sheet3.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mc="http://schemas.openxmlformats.org/markup-compatibility/2006" xmlns:xr="http://schemas.microsoft.com/office/spreadsheetml/2014/revision" mc:Ignorable="xr ">
  <dimension ref="A1:AW11"/>
  <sheetViews>
    <sheetView workbookViewId="0" showGridLines="0" topLeftCell="A1">
      <pane xSplit="1" ySplit="9" topLeftCell="B10" state="frozen" activePane="bottomRight"/>
      <selection pane="topRight" activeCell="B1" sqref="B1"/>
      <selection pane="bottomLeft" activeCell="A10" sqref="A10"/>
      <selection pane="bottomRight" activeCell="A1" sqref="A1"/>
    </sheetView>
  </sheetViews>
  <cols>
    <col min="1" max="1" width="18" customWidth="1"/>
    <col min="2" max="2" width="13" customWidth="1"/>
    <col min="3" max="3" width="13" customWidth="1"/>
    <col min="4" max="4" width="13" customWidth="1"/>
    <col min="5" max="5" width="13" customWidth="1"/>
    <col min="6" max="6" width="13" customWidth="1"/>
    <col min="7" max="7" width="13" customWidth="1"/>
    <col min="8" max="8" width="13" customWidth="1"/>
    <col min="9" max="9" width="13" customWidth="1"/>
    <col min="10" max="10" width="13" customWidth="1"/>
    <col min="11" max="11" width="13" customWidth="1"/>
    <col min="12" max="12" width="13" customWidth="1"/>
    <col min="13" max="13" width="13" customWidth="1"/>
    <col min="14" max="14" width="13" customWidth="1"/>
    <col min="15" max="15" width="13" customWidth="1"/>
    <col min="16" max="16" width="13" customWidth="1"/>
    <col min="17" max="17" width="13" customWidth="1"/>
    <col min="18" max="18" width="13" customWidth="1"/>
    <col min="19" max="19" width="13" customWidth="1"/>
    <col min="20" max="20" width="13" customWidth="1"/>
    <col min="21" max="21" width="13" customWidth="1"/>
    <col min="22" max="22" width="13" customWidth="1"/>
    <col min="23" max="23" width="13" customWidth="1"/>
    <col min="24" max="24" width="13" customWidth="1"/>
    <col min="25" max="25" width="13" customWidth="1"/>
    <col min="26" max="26" width="13" customWidth="1"/>
    <col min="27" max="27" width="13" customWidth="1"/>
    <col min="28" max="28" width="13" customWidth="1"/>
    <col min="29" max="29" width="13" customWidth="1"/>
    <col min="30" max="30" width="13" customWidth="1"/>
    <col min="31" max="31" width="13" customWidth="1"/>
    <col min="32" max="32" width="13" customWidth="1"/>
    <col min="33" max="33" width="13" customWidth="1"/>
    <col min="34" max="34" width="13" customWidth="1"/>
    <col min="35" max="35" width="13" customWidth="1"/>
    <col min="36" max="36" width="13" customWidth="1"/>
    <col min="37" max="37" width="13" customWidth="1"/>
    <col min="38" max="38" width="13" customWidth="1"/>
    <col min="39" max="39" width="13" customWidth="1"/>
    <col min="40" max="40" width="13" customWidth="1"/>
    <col min="41" max="41" width="13" customWidth="1"/>
    <col min="42" max="42" width="13" customWidth="1"/>
    <col min="43" max="43" width="13" customWidth="1"/>
    <col min="44" max="44" width="13" customWidth="1"/>
    <col min="45" max="45" width="13" customWidth="1"/>
    <col min="46" max="46" width="13" customWidth="1"/>
    <col min="47" max="47" width="13" customWidth="1"/>
    <col min="48" max="48" width="13" customWidth="1"/>
    <col min="49" max="49" width="13" customWidth="1"/>
  </cols>
  <sheetData>
    <row r="1">
      <c r="A1" s="2" t="s">
        <v>0</v>
      </c>
    </row>
    <row r="2">
      <c r="A2" s="0" t="s">
        <v>1</v>
      </c>
    </row>
    <row r="3">
      <c r="A3" s="0" t="s">
        <v>2</v>
      </c>
    </row>
    <row r="4" ht="46" customHeight="1"/>
    <row r="5" ht="46" customHeight="1"/>
    <row r="6" ht="46" customHeight="1"/>
    <row r="7" ht="46" customHeight="1"/>
    <row r="8" hidden="1">
      <c r="B8" s="0">
        <v>1</v>
      </c>
      <c r="C8" s="0">
        <v>2</v>
      </c>
      <c r="D8" s="0">
        <v>3</v>
      </c>
      <c r="E8" s="0">
        <v>4</v>
      </c>
      <c r="F8" s="0">
        <v>5</v>
      </c>
      <c r="G8" s="0">
        <v>6</v>
      </c>
      <c r="H8" s="0">
        <v>7</v>
      </c>
      <c r="I8" s="0">
        <v>8</v>
      </c>
      <c r="J8" s="0">
        <v>9</v>
      </c>
      <c r="K8" s="0">
        <v>10</v>
      </c>
      <c r="L8" s="0">
        <v>11</v>
      </c>
      <c r="M8" s="0">
        <v>12</v>
      </c>
      <c r="N8" s="0">
        <v>13</v>
      </c>
      <c r="O8" s="0">
        <v>14</v>
      </c>
      <c r="P8" s="0">
        <v>15</v>
      </c>
      <c r="Q8" s="0">
        <v>16</v>
      </c>
      <c r="R8" s="0">
        <v>17</v>
      </c>
      <c r="S8" s="0">
        <v>18</v>
      </c>
      <c r="T8" s="0">
        <v>19</v>
      </c>
      <c r="U8" s="0">
        <v>20</v>
      </c>
      <c r="V8" s="0">
        <v>21</v>
      </c>
      <c r="W8" s="0">
        <v>22</v>
      </c>
      <c r="X8" s="0">
        <v>23</v>
      </c>
      <c r="Y8" s="0">
        <v>24</v>
      </c>
      <c r="Z8" s="0">
        <v>25</v>
      </c>
      <c r="AA8" s="0">
        <v>26</v>
      </c>
      <c r="AB8" s="0">
        <v>27</v>
      </c>
      <c r="AC8" s="0">
        <v>28</v>
      </c>
      <c r="AD8" s="0">
        <v>29</v>
      </c>
      <c r="AE8" s="0">
        <v>30</v>
      </c>
      <c r="AF8" s="0">
        <v>31</v>
      </c>
      <c r="AG8" s="0">
        <v>32</v>
      </c>
      <c r="AH8" s="0">
        <v>33</v>
      </c>
      <c r="AI8" s="0">
        <v>34</v>
      </c>
      <c r="AJ8" s="0">
        <v>35</v>
      </c>
      <c r="AK8" s="0">
        <v>36</v>
      </c>
      <c r="AL8" s="0">
        <v>37</v>
      </c>
      <c r="AM8" s="0">
        <v>38</v>
      </c>
      <c r="AN8" s="0">
        <v>39</v>
      </c>
      <c r="AO8" s="0">
        <v>40</v>
      </c>
      <c r="AP8" s="0">
        <v>41</v>
      </c>
      <c r="AQ8" s="0">
        <v>42</v>
      </c>
      <c r="AR8" s="0">
        <v>43</v>
      </c>
      <c r="AS8" s="0">
        <v>44</v>
      </c>
      <c r="AT8" s="0">
        <v>45</v>
      </c>
      <c r="AU8" s="0">
        <v>46</v>
      </c>
      <c r="AV8" s="0">
        <v>47</v>
      </c>
      <c r="AW8" s="0">
        <v>48</v>
      </c>
    </row>
    <row r="9">
      <c r="A9" s="2" t="s">
        <v>3</v>
      </c>
      <c r="B9" s="2" t="s">
        <v>4</v>
      </c>
      <c r="C9" s="2" t="s">
        <v>5</v>
      </c>
      <c r="D9" s="2" t="s">
        <v>6</v>
      </c>
      <c r="E9" s="2" t="s">
        <v>7</v>
      </c>
      <c r="F9" s="2" t="s">
        <v>8</v>
      </c>
      <c r="G9" s="2" t="s">
        <v>9</v>
      </c>
      <c r="H9" s="2" t="s">
        <v>10</v>
      </c>
      <c r="I9" s="2" t="s">
        <v>11</v>
      </c>
      <c r="J9" s="2" t="s">
        <v>12</v>
      </c>
      <c r="K9" s="2" t="s">
        <v>13</v>
      </c>
      <c r="L9" s="2" t="s">
        <v>14</v>
      </c>
      <c r="M9" s="2" t="s">
        <v>15</v>
      </c>
      <c r="N9" s="2" t="s">
        <v>16</v>
      </c>
      <c r="O9" s="2" t="s">
        <v>17</v>
      </c>
      <c r="P9" s="2" t="s">
        <v>18</v>
      </c>
      <c r="Q9" s="2" t="s">
        <v>19</v>
      </c>
      <c r="R9" s="2" t="s">
        <v>20</v>
      </c>
      <c r="S9" s="2" t="s">
        <v>21</v>
      </c>
      <c r="T9" s="2" t="s">
        <v>22</v>
      </c>
      <c r="U9" s="2" t="s">
        <v>23</v>
      </c>
      <c r="V9" s="2" t="s">
        <v>24</v>
      </c>
      <c r="W9" s="2" t="s">
        <v>25</v>
      </c>
      <c r="X9" s="2" t="s">
        <v>26</v>
      </c>
      <c r="Y9" s="2" t="s">
        <v>27</v>
      </c>
      <c r="Z9" s="2" t="s">
        <v>28</v>
      </c>
      <c r="AA9" s="2" t="s">
        <v>29</v>
      </c>
      <c r="AB9" s="2" t="s">
        <v>30</v>
      </c>
      <c r="AC9" s="2" t="s">
        <v>31</v>
      </c>
      <c r="AD9" s="2" t="s">
        <v>32</v>
      </c>
      <c r="AE9" s="2" t="s">
        <v>33</v>
      </c>
      <c r="AF9" s="2" t="s">
        <v>34</v>
      </c>
      <c r="AG9" s="2" t="s">
        <v>35</v>
      </c>
      <c r="AH9" s="2" t="s">
        <v>36</v>
      </c>
      <c r="AI9" s="2" t="s">
        <v>37</v>
      </c>
      <c r="AJ9" s="2" t="s">
        <v>38</v>
      </c>
      <c r="AK9" s="2" t="s">
        <v>39</v>
      </c>
      <c r="AL9" s="2" t="s">
        <v>40</v>
      </c>
      <c r="AM9" s="2" t="s">
        <v>41</v>
      </c>
      <c r="AN9" s="2" t="s">
        <v>42</v>
      </c>
      <c r="AO9" s="2" t="s">
        <v>43</v>
      </c>
      <c r="AP9" s="2" t="s">
        <v>44</v>
      </c>
      <c r="AQ9" s="2" t="s">
        <v>45</v>
      </c>
      <c r="AR9" s="2" t="s">
        <v>46</v>
      </c>
      <c r="AS9" s="2" t="s">
        <v>47</v>
      </c>
      <c r="AT9" s="2" t="s">
        <v>48</v>
      </c>
      <c r="AU9" s="2" t="s">
        <v>49</v>
      </c>
      <c r="AV9" s="2" t="s">
        <v>50</v>
      </c>
      <c r="AW9" s="2" t="s">
        <v>51</v>
      </c>
    </row>
    <row r="10">
      <c r="A10" s="0" t="s">
        <v>52</v>
      </c>
      <c r="B10" s="3">
        <v>50</v>
      </c>
      <c r="C10" s="3">
        <v>8</v>
      </c>
      <c r="D10" s="3">
        <v>0</v>
      </c>
      <c r="E10" s="3">
        <v>0</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0</v>
      </c>
      <c r="AA10" s="3">
        <v>0</v>
      </c>
      <c r="AB10" s="3">
        <v>0</v>
      </c>
      <c r="AC10" s="3">
        <v>0</v>
      </c>
      <c r="AD10" s="3">
        <v>0</v>
      </c>
      <c r="AE10" s="3">
        <v>0</v>
      </c>
      <c r="AF10" s="3">
        <v>0</v>
      </c>
      <c r="AG10" s="3">
        <v>0</v>
      </c>
      <c r="AH10" s="3">
        <v>0</v>
      </c>
      <c r="AI10" s="3">
        <v>0</v>
      </c>
      <c r="AJ10" s="3">
        <v>0</v>
      </c>
      <c r="AK10" s="3">
        <v>0</v>
      </c>
      <c r="AL10" s="3">
        <v>0</v>
      </c>
      <c r="AM10" s="3">
        <v>0</v>
      </c>
      <c r="AN10" s="3">
        <v>0</v>
      </c>
      <c r="AO10" s="3">
        <v>0</v>
      </c>
      <c r="AP10" s="3">
        <v>0</v>
      </c>
      <c r="AQ10" s="3">
        <v>0</v>
      </c>
      <c r="AR10" s="3">
        <v>0</v>
      </c>
      <c r="AS10" s="3">
        <v>0</v>
      </c>
      <c r="AT10" s="3">
        <v>0</v>
      </c>
      <c r="AU10" s="3">
        <v>12</v>
      </c>
      <c r="AV10" s="3">
        <v>14</v>
      </c>
      <c r="AW10" s="3">
        <v>16</v>
      </c>
    </row>
    <row r="11">
      <c r="A11" s="0" t="s">
        <v>53</v>
      </c>
      <c r="B11" s="3">
        <v>25</v>
      </c>
      <c r="C11" s="3">
        <v>4</v>
      </c>
      <c r="D11" s="3">
        <v>0</v>
      </c>
      <c r="E11" s="3">
        <v>0</v>
      </c>
      <c r="F11" s="3">
        <v>0</v>
      </c>
      <c r="G11" s="3">
        <v>0</v>
      </c>
      <c r="H11" s="3">
        <v>0</v>
      </c>
      <c r="I11" s="3">
        <v>0</v>
      </c>
      <c r="J11" s="3">
        <v>0</v>
      </c>
      <c r="K11" s="3">
        <v>0</v>
      </c>
      <c r="L11" s="3">
        <v>0</v>
      </c>
      <c r="M11" s="3">
        <v>0</v>
      </c>
      <c r="N11" s="3">
        <v>0</v>
      </c>
      <c r="O11" s="3">
        <v>0</v>
      </c>
      <c r="P11" s="3">
        <v>0</v>
      </c>
      <c r="Q11" s="3">
        <v>0</v>
      </c>
      <c r="R11" s="3">
        <v>0</v>
      </c>
      <c r="S11" s="3">
        <v>0</v>
      </c>
      <c r="T11" s="3">
        <v>0</v>
      </c>
      <c r="U11" s="3">
        <v>0</v>
      </c>
      <c r="V11" s="3">
        <v>0</v>
      </c>
      <c r="W11" s="3">
        <v>0</v>
      </c>
      <c r="X11" s="3">
        <v>0</v>
      </c>
      <c r="Y11" s="3">
        <v>0</v>
      </c>
      <c r="Z11" s="3">
        <v>0</v>
      </c>
      <c r="AA11" s="3">
        <v>0</v>
      </c>
      <c r="AB11" s="3">
        <v>0</v>
      </c>
      <c r="AC11" s="3">
        <v>0</v>
      </c>
      <c r="AD11" s="3">
        <v>0</v>
      </c>
      <c r="AE11" s="3">
        <v>0</v>
      </c>
      <c r="AF11" s="3">
        <v>0</v>
      </c>
      <c r="AG11" s="3">
        <v>0</v>
      </c>
      <c r="AH11" s="3">
        <v>0</v>
      </c>
      <c r="AI11" s="3">
        <v>0</v>
      </c>
      <c r="AJ11" s="3">
        <v>0</v>
      </c>
      <c r="AK11" s="3">
        <v>0</v>
      </c>
      <c r="AL11" s="3">
        <v>0</v>
      </c>
      <c r="AM11" s="3">
        <v>0</v>
      </c>
      <c r="AN11" s="3">
        <v>0</v>
      </c>
      <c r="AO11" s="3">
        <v>0</v>
      </c>
      <c r="AP11" s="3">
        <v>0</v>
      </c>
      <c r="AQ11" s="3">
        <v>0</v>
      </c>
      <c r="AR11" s="3">
        <v>0</v>
      </c>
      <c r="AS11" s="3">
        <v>0</v>
      </c>
      <c r="AT11" s="3">
        <v>0</v>
      </c>
      <c r="AU11" s="3">
        <v>6</v>
      </c>
      <c r="AV11" s="3">
        <v>7</v>
      </c>
      <c r="AW11" s="3">
        <v>8</v>
      </c>
    </row>
  </sheetData>
  <headerFooter/>
  <drawing xmlns:d2p1="http://schemas.openxmlformats.org/officeDocument/2006/relationships" d2p1:id="rId2"/>
  <extLst>
    <ext xmlns:x14="http://schemas.microsoft.com/office/spreadsheetml/2009/9/main" uri="{A8765BA9-456A-4dab-B4F3-ACF838C121DE}">
      <x14:slicerList>
        <x14:slicer xmlns:d5p1="http://schemas.openxmlformats.org/officeDocument/2006/relationships" d5p1:id="rId3"/>
      </x14:slicerList>
    </ext>
  </extLst>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1:AX13"/>
  <sheetViews>
    <sheetView workbookViewId="0"/>
  </sheetViews>
  <sheetFormatPr defaultRowHeight="15"/>
  <sheetData>
    <row r="11">
      <c r="A11" s="0" t="s">
        <v>52</v>
      </c>
      <c r="B11" s="0" t="s">
        <v>54</v>
      </c>
      <c r="C11" s="0">
        <f>SUM(D11:AX11)</f>
        <v>50</v>
      </c>
      <c r="D11" s="0">
        <f>IFERROR(VLOOKUP($A11,FILTRO!$A$10:$AW$11,3,FALSE),0)</f>
        <v>8</v>
      </c>
      <c r="E11" s="0">
        <f>IFERROR(VLOOKUP($A11,FILTRO!$A$10:$AW$11,4,FALSE),0)</f>
        <v>0</v>
      </c>
      <c r="F11" s="0">
        <f>IFERROR(VLOOKUP($A11,FILTRO!$A$10:$AW$11,5,FALSE),0)</f>
        <v>0</v>
      </c>
      <c r="G11" s="0">
        <f>IFERROR(VLOOKUP($A11,FILTRO!$A$10:$AW$11,6,FALSE),0)</f>
        <v>0</v>
      </c>
      <c r="H11" s="0">
        <f>IFERROR(VLOOKUP($A11,FILTRO!$A$10:$AW$11,7,FALSE),0)</f>
        <v>0</v>
      </c>
      <c r="I11" s="0">
        <f>IFERROR(VLOOKUP($A11,FILTRO!$A$10:$AW$11,8,FALSE),0)</f>
        <v>0</v>
      </c>
      <c r="J11" s="0">
        <f>IFERROR(VLOOKUP($A11,FILTRO!$A$10:$AW$11,9,FALSE),0)</f>
        <v>0</v>
      </c>
      <c r="K11" s="0">
        <f>IFERROR(VLOOKUP($A11,FILTRO!$A$10:$AW$11,10,FALSE),0)</f>
        <v>0</v>
      </c>
      <c r="L11" s="0">
        <f>IFERROR(VLOOKUP($A11,FILTRO!$A$10:$AW$11,11,FALSE),0)</f>
        <v>0</v>
      </c>
      <c r="M11" s="0">
        <f>IFERROR(VLOOKUP($A11,FILTRO!$A$10:$AW$11,12,FALSE),0)</f>
        <v>0</v>
      </c>
      <c r="N11" s="0">
        <f>IFERROR(VLOOKUP($A11,FILTRO!$A$10:$AW$11,13,FALSE),0)</f>
        <v>0</v>
      </c>
      <c r="O11" s="0">
        <f>IFERROR(VLOOKUP($A11,FILTRO!$A$10:$AW$11,14,FALSE),0)</f>
        <v>0</v>
      </c>
      <c r="P11" s="0">
        <f>IFERROR(VLOOKUP($A11,FILTRO!$A$10:$AW$11,15,FALSE),0)</f>
        <v>0</v>
      </c>
      <c r="Q11" s="0">
        <f>IFERROR(VLOOKUP($A11,FILTRO!$A$10:$AW$11,16,FALSE),0)</f>
        <v>0</v>
      </c>
      <c r="R11" s="0">
        <f>IFERROR(VLOOKUP($A11,FILTRO!$A$10:$AW$11,17,FALSE),0)</f>
        <v>0</v>
      </c>
      <c r="S11" s="0">
        <f>IFERROR(VLOOKUP($A11,FILTRO!$A$10:$AW$11,18,FALSE),0)</f>
        <v>0</v>
      </c>
      <c r="T11" s="0">
        <f>IFERROR(VLOOKUP($A11,FILTRO!$A$10:$AW$11,19,FALSE),0)</f>
        <v>0</v>
      </c>
      <c r="U11" s="0">
        <f>IFERROR(VLOOKUP($A11,FILTRO!$A$10:$AW$11,20,FALSE),0)</f>
        <v>0</v>
      </c>
      <c r="V11" s="0">
        <f>IFERROR(VLOOKUP($A11,FILTRO!$A$10:$AW$11,21,FALSE),0)</f>
        <v>0</v>
      </c>
      <c r="W11" s="0">
        <f>IFERROR(VLOOKUP($A11,FILTRO!$A$10:$AW$11,22,FALSE),0)</f>
        <v>0</v>
      </c>
      <c r="X11" s="0">
        <f>IFERROR(VLOOKUP($A11,FILTRO!$A$10:$AW$11,23,FALSE),0)</f>
        <v>0</v>
      </c>
      <c r="Y11" s="0">
        <f>IFERROR(VLOOKUP($A11,FILTRO!$A$10:$AW$11,24,FALSE),0)</f>
        <v>0</v>
      </c>
      <c r="Z11" s="0">
        <f>IFERROR(VLOOKUP($A11,FILTRO!$A$10:$AW$11,25,FALSE),0)</f>
        <v>0</v>
      </c>
      <c r="AA11" s="0">
        <f>IFERROR(VLOOKUP($A11,FILTRO!$A$10:$AW$11,26,FALSE),0)</f>
        <v>0</v>
      </c>
      <c r="AB11" s="0">
        <f>IFERROR(VLOOKUP($A11,FILTRO!$A$10:$AW$11,27,FALSE),0)</f>
        <v>0</v>
      </c>
      <c r="AC11" s="0">
        <f>IFERROR(VLOOKUP($A11,FILTRO!$A$10:$AW$11,28,FALSE),0)</f>
        <v>0</v>
      </c>
      <c r="AD11" s="0">
        <f>IFERROR(VLOOKUP($A11,FILTRO!$A$10:$AW$11,29,FALSE),0)</f>
        <v>0</v>
      </c>
      <c r="AE11" s="0">
        <f>IFERROR(VLOOKUP($A11,FILTRO!$A$10:$AW$11,30,FALSE),0)</f>
        <v>0</v>
      </c>
      <c r="AF11" s="0">
        <f>IFERROR(VLOOKUP($A11,FILTRO!$A$10:$AW$11,31,FALSE),0)</f>
        <v>0</v>
      </c>
      <c r="AG11" s="0">
        <f>IFERROR(VLOOKUP($A11,FILTRO!$A$10:$AW$11,32,FALSE),0)</f>
        <v>0</v>
      </c>
      <c r="AH11" s="0">
        <f>IFERROR(VLOOKUP($A11,FILTRO!$A$10:$AW$11,33,FALSE),0)</f>
        <v>0</v>
      </c>
      <c r="AI11" s="0">
        <f>IFERROR(VLOOKUP($A11,FILTRO!$A$10:$AW$11,34,FALSE),0)</f>
        <v>0</v>
      </c>
      <c r="AJ11" s="0">
        <f>IFERROR(VLOOKUP($A11,FILTRO!$A$10:$AW$11,35,FALSE),0)</f>
        <v>0</v>
      </c>
      <c r="AK11" s="0">
        <f>IFERROR(VLOOKUP($A11,FILTRO!$A$10:$AW$11,36,FALSE),0)</f>
        <v>0</v>
      </c>
      <c r="AL11" s="0">
        <f>IFERROR(VLOOKUP($A11,FILTRO!$A$10:$AW$11,37,FALSE),0)</f>
        <v>0</v>
      </c>
      <c r="AM11" s="0">
        <f>IFERROR(VLOOKUP($A11,FILTRO!$A$10:$AW$11,38,FALSE),0)</f>
        <v>0</v>
      </c>
      <c r="AN11" s="0">
        <f>IFERROR(VLOOKUP($A11,FILTRO!$A$10:$AW$11,39,FALSE),0)</f>
        <v>0</v>
      </c>
      <c r="AO11" s="0">
        <f>IFERROR(VLOOKUP($A11,FILTRO!$A$10:$AW$11,40,FALSE),0)</f>
        <v>0</v>
      </c>
      <c r="AP11" s="0">
        <f>IFERROR(VLOOKUP($A11,FILTRO!$A$10:$AW$11,41,FALSE),0)</f>
        <v>0</v>
      </c>
      <c r="AQ11" s="0">
        <f>IFERROR(VLOOKUP($A11,FILTRO!$A$10:$AW$11,42,FALSE),0)</f>
        <v>0</v>
      </c>
      <c r="AR11" s="0">
        <f>IFERROR(VLOOKUP($A11,FILTRO!$A$10:$AW$11,43,FALSE),0)</f>
        <v>0</v>
      </c>
      <c r="AS11" s="0">
        <f>IFERROR(VLOOKUP($A11,FILTRO!$A$10:$AW$11,44,FALSE),0)</f>
        <v>0</v>
      </c>
      <c r="AT11" s="0">
        <f>IFERROR(VLOOKUP($A11,FILTRO!$A$10:$AW$11,45,FALSE),0)</f>
        <v>0</v>
      </c>
      <c r="AU11" s="0">
        <f>IFERROR(VLOOKUP($A11,FILTRO!$A$10:$AW$11,46,FALSE),0)</f>
        <v>0</v>
      </c>
      <c r="AV11" s="0">
        <f>IFERROR(VLOOKUP($A11,FILTRO!$A$10:$AW$11,47,FALSE),0)</f>
        <v>12</v>
      </c>
      <c r="AW11" s="0">
        <f>IFERROR(VLOOKUP($A11,FILTRO!$A$10:$AW$11,48,FALSE),0)</f>
        <v>14</v>
      </c>
      <c r="AX11" s="0">
        <f>IFERROR(VLOOKUP($A11,FILTRO!$A$10:$AW$11,49,FALSE),0)</f>
        <v>16</v>
      </c>
    </row>
    <row r="12">
      <c r="A12" s="0" t="s">
        <v>53</v>
      </c>
      <c r="B12" s="0" t="s">
        <v>55</v>
      </c>
      <c r="C12" s="0">
        <f>SUM(D12:AX12)</f>
        <v>25</v>
      </c>
      <c r="D12" s="0">
        <f>IFERROR(VLOOKUP($A12,FILTRO!$A$10:$AW$11,3,FALSE),0)</f>
        <v>4</v>
      </c>
      <c r="E12" s="0">
        <f>IFERROR(VLOOKUP($A12,FILTRO!$A$10:$AW$11,4,FALSE),0)</f>
        <v>0</v>
      </c>
      <c r="F12" s="0">
        <f>IFERROR(VLOOKUP($A12,FILTRO!$A$10:$AW$11,5,FALSE),0)</f>
        <v>0</v>
      </c>
      <c r="G12" s="0">
        <f>IFERROR(VLOOKUP($A12,FILTRO!$A$10:$AW$11,6,FALSE),0)</f>
        <v>0</v>
      </c>
      <c r="H12" s="0">
        <f>IFERROR(VLOOKUP($A12,FILTRO!$A$10:$AW$11,7,FALSE),0)</f>
        <v>0</v>
      </c>
      <c r="I12" s="0">
        <f>IFERROR(VLOOKUP($A12,FILTRO!$A$10:$AW$11,8,FALSE),0)</f>
        <v>0</v>
      </c>
      <c r="J12" s="0">
        <f>IFERROR(VLOOKUP($A12,FILTRO!$A$10:$AW$11,9,FALSE),0)</f>
        <v>0</v>
      </c>
      <c r="K12" s="0">
        <f>IFERROR(VLOOKUP($A12,FILTRO!$A$10:$AW$11,10,FALSE),0)</f>
        <v>0</v>
      </c>
      <c r="L12" s="0">
        <f>IFERROR(VLOOKUP($A12,FILTRO!$A$10:$AW$11,11,FALSE),0)</f>
        <v>0</v>
      </c>
      <c r="M12" s="0">
        <f>IFERROR(VLOOKUP($A12,FILTRO!$A$10:$AW$11,12,FALSE),0)</f>
        <v>0</v>
      </c>
      <c r="N12" s="0">
        <f>IFERROR(VLOOKUP($A12,FILTRO!$A$10:$AW$11,13,FALSE),0)</f>
        <v>0</v>
      </c>
      <c r="O12" s="0">
        <f>IFERROR(VLOOKUP($A12,FILTRO!$A$10:$AW$11,14,FALSE),0)</f>
        <v>0</v>
      </c>
      <c r="P12" s="0">
        <f>IFERROR(VLOOKUP($A12,FILTRO!$A$10:$AW$11,15,FALSE),0)</f>
        <v>0</v>
      </c>
      <c r="Q12" s="0">
        <f>IFERROR(VLOOKUP($A12,FILTRO!$A$10:$AW$11,16,FALSE),0)</f>
        <v>0</v>
      </c>
      <c r="R12" s="0">
        <f>IFERROR(VLOOKUP($A12,FILTRO!$A$10:$AW$11,17,FALSE),0)</f>
        <v>0</v>
      </c>
      <c r="S12" s="0">
        <f>IFERROR(VLOOKUP($A12,FILTRO!$A$10:$AW$11,18,FALSE),0)</f>
        <v>0</v>
      </c>
      <c r="T12" s="0">
        <f>IFERROR(VLOOKUP($A12,FILTRO!$A$10:$AW$11,19,FALSE),0)</f>
        <v>0</v>
      </c>
      <c r="U12" s="0">
        <f>IFERROR(VLOOKUP($A12,FILTRO!$A$10:$AW$11,20,FALSE),0)</f>
        <v>0</v>
      </c>
      <c r="V12" s="0">
        <f>IFERROR(VLOOKUP($A12,FILTRO!$A$10:$AW$11,21,FALSE),0)</f>
        <v>0</v>
      </c>
      <c r="W12" s="0">
        <f>IFERROR(VLOOKUP($A12,FILTRO!$A$10:$AW$11,22,FALSE),0)</f>
        <v>0</v>
      </c>
      <c r="X12" s="0">
        <f>IFERROR(VLOOKUP($A12,FILTRO!$A$10:$AW$11,23,FALSE),0)</f>
        <v>0</v>
      </c>
      <c r="Y12" s="0">
        <f>IFERROR(VLOOKUP($A12,FILTRO!$A$10:$AW$11,24,FALSE),0)</f>
        <v>0</v>
      </c>
      <c r="Z12" s="0">
        <f>IFERROR(VLOOKUP($A12,FILTRO!$A$10:$AW$11,25,FALSE),0)</f>
        <v>0</v>
      </c>
      <c r="AA12" s="0">
        <f>IFERROR(VLOOKUP($A12,FILTRO!$A$10:$AW$11,26,FALSE),0)</f>
        <v>0</v>
      </c>
      <c r="AB12" s="0">
        <f>IFERROR(VLOOKUP($A12,FILTRO!$A$10:$AW$11,27,FALSE),0)</f>
        <v>0</v>
      </c>
      <c r="AC12" s="0">
        <f>IFERROR(VLOOKUP($A12,FILTRO!$A$10:$AW$11,28,FALSE),0)</f>
        <v>0</v>
      </c>
      <c r="AD12" s="0">
        <f>IFERROR(VLOOKUP($A12,FILTRO!$A$10:$AW$11,29,FALSE),0)</f>
        <v>0</v>
      </c>
      <c r="AE12" s="0">
        <f>IFERROR(VLOOKUP($A12,FILTRO!$A$10:$AW$11,30,FALSE),0)</f>
        <v>0</v>
      </c>
      <c r="AF12" s="0">
        <f>IFERROR(VLOOKUP($A12,FILTRO!$A$10:$AW$11,31,FALSE),0)</f>
        <v>0</v>
      </c>
      <c r="AG12" s="0">
        <f>IFERROR(VLOOKUP($A12,FILTRO!$A$10:$AW$11,32,FALSE),0)</f>
        <v>0</v>
      </c>
      <c r="AH12" s="0">
        <f>IFERROR(VLOOKUP($A12,FILTRO!$A$10:$AW$11,33,FALSE),0)</f>
        <v>0</v>
      </c>
      <c r="AI12" s="0">
        <f>IFERROR(VLOOKUP($A12,FILTRO!$A$10:$AW$11,34,FALSE),0)</f>
        <v>0</v>
      </c>
      <c r="AJ12" s="0">
        <f>IFERROR(VLOOKUP($A12,FILTRO!$A$10:$AW$11,35,FALSE),0)</f>
        <v>0</v>
      </c>
      <c r="AK12" s="0">
        <f>IFERROR(VLOOKUP($A12,FILTRO!$A$10:$AW$11,36,FALSE),0)</f>
        <v>0</v>
      </c>
      <c r="AL12" s="0">
        <f>IFERROR(VLOOKUP($A12,FILTRO!$A$10:$AW$11,37,FALSE),0)</f>
        <v>0</v>
      </c>
      <c r="AM12" s="0">
        <f>IFERROR(VLOOKUP($A12,FILTRO!$A$10:$AW$11,38,FALSE),0)</f>
        <v>0</v>
      </c>
      <c r="AN12" s="0">
        <f>IFERROR(VLOOKUP($A12,FILTRO!$A$10:$AW$11,39,FALSE),0)</f>
        <v>0</v>
      </c>
      <c r="AO12" s="0">
        <f>IFERROR(VLOOKUP($A12,FILTRO!$A$10:$AW$11,40,FALSE),0)</f>
        <v>0</v>
      </c>
      <c r="AP12" s="0">
        <f>IFERROR(VLOOKUP($A12,FILTRO!$A$10:$AW$11,41,FALSE),0)</f>
        <v>0</v>
      </c>
      <c r="AQ12" s="0">
        <f>IFERROR(VLOOKUP($A12,FILTRO!$A$10:$AW$11,42,FALSE),0)</f>
        <v>0</v>
      </c>
      <c r="AR12" s="0">
        <f>IFERROR(VLOOKUP($A12,FILTRO!$A$10:$AW$11,43,FALSE),0)</f>
        <v>0</v>
      </c>
      <c r="AS12" s="0">
        <f>IFERROR(VLOOKUP($A12,FILTRO!$A$10:$AW$11,44,FALSE),0)</f>
        <v>0</v>
      </c>
      <c r="AT12" s="0">
        <f>IFERROR(VLOOKUP($A12,FILTRO!$A$10:$AW$11,45,FALSE),0)</f>
        <v>0</v>
      </c>
      <c r="AU12" s="0">
        <f>IFERROR(VLOOKUP($A12,FILTRO!$A$10:$AW$11,46,FALSE),0)</f>
        <v>0</v>
      </c>
      <c r="AV12" s="0">
        <f>IFERROR(VLOOKUP($A12,FILTRO!$A$10:$AW$11,47,FALSE),0)</f>
        <v>6</v>
      </c>
      <c r="AW12" s="0">
        <f>IFERROR(VLOOKUP($A12,FILTRO!$A$10:$AW$11,48,FALSE),0)</f>
        <v>7</v>
      </c>
      <c r="AX12" s="0">
        <f>IFERROR(VLOOKUP($A12,FILTRO!$A$10:$AW$11,49,FALSE),0)</f>
        <v>8</v>
      </c>
    </row>
    <row r="13">
      <c r="A13" s="0" t="s">
        <v>56</v>
      </c>
      <c r="B13" s="0" t="s">
        <v>57</v>
      </c>
      <c r="C13" s="0">
        <f>SUM(D13:AX13)</f>
        <v>0</v>
      </c>
      <c r="D13" s="0">
        <f>IFERROR(VLOOKUP($A13,FILTRO!$A$10:$AW$11,3,FALSE),0)</f>
        <v>0</v>
      </c>
      <c r="E13" s="0">
        <f>IFERROR(VLOOKUP($A13,FILTRO!$A$10:$AW$11,4,FALSE),0)</f>
        <v>0</v>
      </c>
      <c r="F13" s="0">
        <f>IFERROR(VLOOKUP($A13,FILTRO!$A$10:$AW$11,5,FALSE),0)</f>
        <v>0</v>
      </c>
      <c r="G13" s="0">
        <f>IFERROR(VLOOKUP($A13,FILTRO!$A$10:$AW$11,6,FALSE),0)</f>
        <v>0</v>
      </c>
      <c r="H13" s="0">
        <f>IFERROR(VLOOKUP($A13,FILTRO!$A$10:$AW$11,7,FALSE),0)</f>
        <v>0</v>
      </c>
      <c r="I13" s="0">
        <f>IFERROR(VLOOKUP($A13,FILTRO!$A$10:$AW$11,8,FALSE),0)</f>
        <v>0</v>
      </c>
      <c r="J13" s="0">
        <f>IFERROR(VLOOKUP($A13,FILTRO!$A$10:$AW$11,9,FALSE),0)</f>
        <v>0</v>
      </c>
      <c r="K13" s="0">
        <f>IFERROR(VLOOKUP($A13,FILTRO!$A$10:$AW$11,10,FALSE),0)</f>
        <v>0</v>
      </c>
      <c r="L13" s="0">
        <f>IFERROR(VLOOKUP($A13,FILTRO!$A$10:$AW$11,11,FALSE),0)</f>
        <v>0</v>
      </c>
      <c r="M13" s="0">
        <f>IFERROR(VLOOKUP($A13,FILTRO!$A$10:$AW$11,12,FALSE),0)</f>
        <v>0</v>
      </c>
      <c r="N13" s="0">
        <f>IFERROR(VLOOKUP($A13,FILTRO!$A$10:$AW$11,13,FALSE),0)</f>
        <v>0</v>
      </c>
      <c r="O13" s="0">
        <f>IFERROR(VLOOKUP($A13,FILTRO!$A$10:$AW$11,14,FALSE),0)</f>
        <v>0</v>
      </c>
      <c r="P13" s="0">
        <f>IFERROR(VLOOKUP($A13,FILTRO!$A$10:$AW$11,15,FALSE),0)</f>
        <v>0</v>
      </c>
      <c r="Q13" s="0">
        <f>IFERROR(VLOOKUP($A13,FILTRO!$A$10:$AW$11,16,FALSE),0)</f>
        <v>0</v>
      </c>
      <c r="R13" s="0">
        <f>IFERROR(VLOOKUP($A13,FILTRO!$A$10:$AW$11,17,FALSE),0)</f>
        <v>0</v>
      </c>
      <c r="S13" s="0">
        <f>IFERROR(VLOOKUP($A13,FILTRO!$A$10:$AW$11,18,FALSE),0)</f>
        <v>0</v>
      </c>
      <c r="T13" s="0">
        <f>IFERROR(VLOOKUP($A13,FILTRO!$A$10:$AW$11,19,FALSE),0)</f>
        <v>0</v>
      </c>
      <c r="U13" s="0">
        <f>IFERROR(VLOOKUP($A13,FILTRO!$A$10:$AW$11,20,FALSE),0)</f>
        <v>0</v>
      </c>
      <c r="V13" s="0">
        <f>IFERROR(VLOOKUP($A13,FILTRO!$A$10:$AW$11,21,FALSE),0)</f>
        <v>0</v>
      </c>
      <c r="W13" s="0">
        <f>IFERROR(VLOOKUP($A13,FILTRO!$A$10:$AW$11,22,FALSE),0)</f>
        <v>0</v>
      </c>
      <c r="X13" s="0">
        <f>IFERROR(VLOOKUP($A13,FILTRO!$A$10:$AW$11,23,FALSE),0)</f>
        <v>0</v>
      </c>
      <c r="Y13" s="0">
        <f>IFERROR(VLOOKUP($A13,FILTRO!$A$10:$AW$11,24,FALSE),0)</f>
        <v>0</v>
      </c>
      <c r="Z13" s="0">
        <f>IFERROR(VLOOKUP($A13,FILTRO!$A$10:$AW$11,25,FALSE),0)</f>
        <v>0</v>
      </c>
      <c r="AA13" s="0">
        <f>IFERROR(VLOOKUP($A13,FILTRO!$A$10:$AW$11,26,FALSE),0)</f>
        <v>0</v>
      </c>
      <c r="AB13" s="0">
        <f>IFERROR(VLOOKUP($A13,FILTRO!$A$10:$AW$11,27,FALSE),0)</f>
        <v>0</v>
      </c>
      <c r="AC13" s="0">
        <f>IFERROR(VLOOKUP($A13,FILTRO!$A$10:$AW$11,28,FALSE),0)</f>
        <v>0</v>
      </c>
      <c r="AD13" s="0">
        <f>IFERROR(VLOOKUP($A13,FILTRO!$A$10:$AW$11,29,FALSE),0)</f>
        <v>0</v>
      </c>
      <c r="AE13" s="0">
        <f>IFERROR(VLOOKUP($A13,FILTRO!$A$10:$AW$11,30,FALSE),0)</f>
        <v>0</v>
      </c>
      <c r="AF13" s="0">
        <f>IFERROR(VLOOKUP($A13,FILTRO!$A$10:$AW$11,31,FALSE),0)</f>
        <v>0</v>
      </c>
      <c r="AG13" s="0">
        <f>IFERROR(VLOOKUP($A13,FILTRO!$A$10:$AW$11,32,FALSE),0)</f>
        <v>0</v>
      </c>
      <c r="AH13" s="0">
        <f>IFERROR(VLOOKUP($A13,FILTRO!$A$10:$AW$11,33,FALSE),0)</f>
        <v>0</v>
      </c>
      <c r="AI13" s="0">
        <f>IFERROR(VLOOKUP($A13,FILTRO!$A$10:$AW$11,34,FALSE),0)</f>
        <v>0</v>
      </c>
      <c r="AJ13" s="0">
        <f>IFERROR(VLOOKUP($A13,FILTRO!$A$10:$AW$11,35,FALSE),0)</f>
        <v>0</v>
      </c>
      <c r="AK13" s="0">
        <f>IFERROR(VLOOKUP($A13,FILTRO!$A$10:$AW$11,36,FALSE),0)</f>
        <v>0</v>
      </c>
      <c r="AL13" s="0">
        <f>IFERROR(VLOOKUP($A13,FILTRO!$A$10:$AW$11,37,FALSE),0)</f>
        <v>0</v>
      </c>
      <c r="AM13" s="0">
        <f>IFERROR(VLOOKUP($A13,FILTRO!$A$10:$AW$11,38,FALSE),0)</f>
        <v>0</v>
      </c>
      <c r="AN13" s="0">
        <f>IFERROR(VLOOKUP($A13,FILTRO!$A$10:$AW$11,39,FALSE),0)</f>
        <v>0</v>
      </c>
      <c r="AO13" s="0">
        <f>IFERROR(VLOOKUP($A13,FILTRO!$A$10:$AW$11,40,FALSE),0)</f>
        <v>0</v>
      </c>
      <c r="AP13" s="0">
        <f>IFERROR(VLOOKUP($A13,FILTRO!$A$10:$AW$11,41,FALSE),0)</f>
        <v>0</v>
      </c>
      <c r="AQ13" s="0">
        <f>IFERROR(VLOOKUP($A13,FILTRO!$A$10:$AW$11,42,FALSE),0)</f>
        <v>0</v>
      </c>
      <c r="AR13" s="0">
        <f>IFERROR(VLOOKUP($A13,FILTRO!$A$10:$AW$11,43,FALSE),0)</f>
        <v>0</v>
      </c>
      <c r="AS13" s="0">
        <f>IFERROR(VLOOKUP($A13,FILTRO!$A$10:$AW$11,44,FALSE),0)</f>
        <v>0</v>
      </c>
      <c r="AT13" s="0">
        <f>IFERROR(VLOOKUP($A13,FILTRO!$A$10:$AW$11,45,FALSE),0)</f>
        <v>0</v>
      </c>
      <c r="AU13" s="0">
        <f>IFERROR(VLOOKUP($A13,FILTRO!$A$10:$AW$11,46,FALSE),0)</f>
        <v>0</v>
      </c>
      <c r="AV13" s="0">
        <f>IFERROR(VLOOKUP($A13,FILTRO!$A$10:$AW$11,47,FALSE),0)</f>
        <v>0</v>
      </c>
      <c r="AW13" s="0">
        <f>IFERROR(VLOOKUP($A13,FILTRO!$A$10:$AW$11,48,FALSE),0)</f>
        <v>0</v>
      </c>
      <c r="AX13" s="0">
        <f>IFERROR(VLOOKUP($A13,FILTRO!$A$10:$AW$11,49,FALSE),0)</f>
        <v>0</v>
      </c>
    </row>
  </sheetData>
  <headerFooter/>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AZ4"/>
  <sheetViews>
    <sheetView workbookViewId="0"/>
  </sheetViews>
  <sheetFormatPr defaultRowHeight="15"/>
  <cols>
    <col min="1" max="1" width="9.140625" customWidth="1" style="1"/>
  </cols>
  <sheetData>
    <row r="1">
      <c r="A1" s="1" t="s">
        <v>58</v>
      </c>
      <c r="B1" s="0" t="s">
        <v>59</v>
      </c>
      <c r="C1" s="0" t="s">
        <v>60</v>
      </c>
      <c r="D1" s="0" t="s">
        <v>61</v>
      </c>
      <c r="E1" s="0" t="s">
        <v>62</v>
      </c>
      <c r="F1" s="0" t="s">
        <v>63</v>
      </c>
      <c r="G1" s="0" t="s">
        <v>64</v>
      </c>
      <c r="H1" s="0" t="s">
        <v>65</v>
      </c>
      <c r="I1" s="0" t="s">
        <v>66</v>
      </c>
      <c r="J1" s="0" t="s">
        <v>67</v>
      </c>
      <c r="K1" s="0" t="s">
        <v>68</v>
      </c>
      <c r="L1" s="0" t="s">
        <v>69</v>
      </c>
      <c r="M1" s="0" t="s">
        <v>70</v>
      </c>
      <c r="N1" s="0" t="s">
        <v>71</v>
      </c>
      <c r="O1" s="0" t="s">
        <v>72</v>
      </c>
      <c r="P1" s="0" t="s">
        <v>73</v>
      </c>
      <c r="Q1" s="0" t="s">
        <v>74</v>
      </c>
      <c r="R1" s="0" t="s">
        <v>75</v>
      </c>
      <c r="S1" s="0" t="s">
        <v>76</v>
      </c>
      <c r="T1" s="0" t="s">
        <v>77</v>
      </c>
      <c r="U1" s="0" t="s">
        <v>78</v>
      </c>
      <c r="V1" s="0" t="s">
        <v>79</v>
      </c>
      <c r="W1" s="0" t="s">
        <v>80</v>
      </c>
      <c r="X1" s="0" t="s">
        <v>81</v>
      </c>
      <c r="Y1" s="0" t="s">
        <v>82</v>
      </c>
      <c r="Z1" s="0" t="s">
        <v>83</v>
      </c>
      <c r="AA1" s="0" t="s">
        <v>84</v>
      </c>
      <c r="AB1" s="0" t="s">
        <v>85</v>
      </c>
      <c r="AC1" s="0" t="s">
        <v>86</v>
      </c>
      <c r="AD1" s="0" t="s">
        <v>87</v>
      </c>
      <c r="AE1" s="0" t="s">
        <v>88</v>
      </c>
      <c r="AF1" s="0" t="s">
        <v>89</v>
      </c>
      <c r="AG1" s="0" t="s">
        <v>90</v>
      </c>
      <c r="AH1" s="0" t="s">
        <v>91</v>
      </c>
      <c r="AI1" s="0" t="s">
        <v>92</v>
      </c>
      <c r="AJ1" s="0" t="s">
        <v>93</v>
      </c>
      <c r="AK1" s="0" t="s">
        <v>94</v>
      </c>
      <c r="AL1" s="0" t="s">
        <v>95</v>
      </c>
      <c r="AM1" s="0" t="s">
        <v>96</v>
      </c>
      <c r="AN1" s="0" t="s">
        <v>97</v>
      </c>
      <c r="AO1" s="0" t="s">
        <v>98</v>
      </c>
      <c r="AP1" s="0" t="s">
        <v>99</v>
      </c>
      <c r="AQ1" s="0" t="s">
        <v>100</v>
      </c>
      <c r="AR1" s="0" t="s">
        <v>101</v>
      </c>
      <c r="AS1" s="0" t="s">
        <v>102</v>
      </c>
      <c r="AT1" s="0" t="s">
        <v>103</v>
      </c>
      <c r="AU1" s="0" t="s">
        <v>104</v>
      </c>
      <c r="AV1" s="0" t="s">
        <v>105</v>
      </c>
      <c r="AW1" s="0" t="s">
        <v>106</v>
      </c>
      <c r="AX1" s="0" t="s">
        <v>107</v>
      </c>
      <c r="AY1" s="0" t="s">
        <v>108</v>
      </c>
      <c r="AZ1" s="0" t="s">
        <v>109</v>
      </c>
    </row>
    <row r="2">
      <c r="A2" s="1" t="s">
        <v>52</v>
      </c>
      <c r="B2" s="0">
        <v>26</v>
      </c>
      <c r="C2" s="0">
        <v>5</v>
      </c>
      <c r="D2" s="0">
        <v>0</v>
      </c>
      <c r="E2" s="0">
        <v>0</v>
      </c>
      <c r="F2" s="0">
        <v>0</v>
      </c>
      <c r="G2" s="0">
        <v>0</v>
      </c>
      <c r="H2" s="0">
        <v>0</v>
      </c>
      <c r="I2" s="0">
        <v>0</v>
      </c>
      <c r="J2" s="0">
        <v>0</v>
      </c>
      <c r="K2" s="0">
        <v>0</v>
      </c>
      <c r="L2" s="0">
        <v>0</v>
      </c>
      <c r="M2" s="0">
        <v>0</v>
      </c>
      <c r="N2" s="0">
        <v>0</v>
      </c>
      <c r="O2" s="0">
        <v>0</v>
      </c>
      <c r="P2" s="0">
        <v>0</v>
      </c>
      <c r="Q2" s="0">
        <v>0</v>
      </c>
      <c r="R2" s="0">
        <v>0</v>
      </c>
      <c r="S2" s="0">
        <v>0</v>
      </c>
      <c r="T2" s="0">
        <v>0</v>
      </c>
      <c r="U2" s="0">
        <v>0</v>
      </c>
      <c r="V2" s="0">
        <v>0</v>
      </c>
      <c r="W2" s="0">
        <v>0</v>
      </c>
      <c r="X2" s="0">
        <v>0</v>
      </c>
      <c r="Y2" s="0">
        <v>0</v>
      </c>
      <c r="Z2" s="0">
        <v>0</v>
      </c>
      <c r="AA2" s="0">
        <v>0</v>
      </c>
      <c r="AB2" s="0">
        <v>0</v>
      </c>
      <c r="AC2" s="0">
        <v>0</v>
      </c>
      <c r="AD2" s="0">
        <v>0</v>
      </c>
      <c r="AE2" s="0">
        <v>0</v>
      </c>
      <c r="AF2" s="0">
        <v>0</v>
      </c>
      <c r="AG2" s="0">
        <v>0</v>
      </c>
      <c r="AH2" s="0">
        <v>0</v>
      </c>
      <c r="AI2" s="0">
        <v>0</v>
      </c>
      <c r="AJ2" s="0">
        <v>0</v>
      </c>
      <c r="AK2" s="0">
        <v>0</v>
      </c>
      <c r="AL2" s="0">
        <v>0</v>
      </c>
      <c r="AM2" s="0">
        <v>0</v>
      </c>
      <c r="AN2" s="0">
        <v>0</v>
      </c>
      <c r="AO2" s="0">
        <v>0</v>
      </c>
      <c r="AP2" s="0">
        <v>0</v>
      </c>
      <c r="AQ2" s="0">
        <v>0</v>
      </c>
      <c r="AR2" s="0">
        <v>0</v>
      </c>
      <c r="AS2" s="0">
        <v>0</v>
      </c>
      <c r="AT2" s="0">
        <v>0</v>
      </c>
      <c r="AU2" s="0">
        <v>6</v>
      </c>
      <c r="AV2" s="0">
        <v>7</v>
      </c>
      <c r="AW2" s="0">
        <v>8</v>
      </c>
      <c r="AX2" s="0" t="s">
        <v>110</v>
      </c>
      <c r="AY2" s="0" t="s">
        <v>111</v>
      </c>
      <c r="AZ2" s="0" t="s">
        <v>112</v>
      </c>
    </row>
    <row r="3">
      <c r="A3" s="1" t="s">
        <v>52</v>
      </c>
      <c r="B3" s="0">
        <v>24</v>
      </c>
      <c r="C3" s="0">
        <v>3</v>
      </c>
      <c r="D3" s="0">
        <v>0</v>
      </c>
      <c r="E3" s="0">
        <v>0</v>
      </c>
      <c r="F3" s="0">
        <v>0</v>
      </c>
      <c r="G3" s="0">
        <v>0</v>
      </c>
      <c r="H3" s="0">
        <v>0</v>
      </c>
      <c r="I3" s="0">
        <v>0</v>
      </c>
      <c r="J3" s="0">
        <v>0</v>
      </c>
      <c r="K3" s="0">
        <v>0</v>
      </c>
      <c r="L3" s="0">
        <v>0</v>
      </c>
      <c r="M3" s="0">
        <v>0</v>
      </c>
      <c r="N3" s="0">
        <v>0</v>
      </c>
      <c r="O3" s="0">
        <v>0</v>
      </c>
      <c r="P3" s="0">
        <v>0</v>
      </c>
      <c r="Q3" s="0">
        <v>0</v>
      </c>
      <c r="R3" s="0">
        <v>0</v>
      </c>
      <c r="S3" s="0">
        <v>0</v>
      </c>
      <c r="T3" s="0">
        <v>0</v>
      </c>
      <c r="U3" s="0">
        <v>0</v>
      </c>
      <c r="V3" s="0">
        <v>0</v>
      </c>
      <c r="W3" s="0">
        <v>0</v>
      </c>
      <c r="X3" s="0">
        <v>0</v>
      </c>
      <c r="Y3" s="0">
        <v>0</v>
      </c>
      <c r="Z3" s="0">
        <v>0</v>
      </c>
      <c r="AA3" s="0">
        <v>0</v>
      </c>
      <c r="AB3" s="0">
        <v>0</v>
      </c>
      <c r="AC3" s="0">
        <v>0</v>
      </c>
      <c r="AD3" s="0">
        <v>0</v>
      </c>
      <c r="AE3" s="0">
        <v>0</v>
      </c>
      <c r="AF3" s="0">
        <v>0</v>
      </c>
      <c r="AG3" s="0">
        <v>0</v>
      </c>
      <c r="AH3" s="0">
        <v>0</v>
      </c>
      <c r="AI3" s="0">
        <v>0</v>
      </c>
      <c r="AJ3" s="0">
        <v>0</v>
      </c>
      <c r="AK3" s="0">
        <v>0</v>
      </c>
      <c r="AL3" s="0">
        <v>0</v>
      </c>
      <c r="AM3" s="0">
        <v>0</v>
      </c>
      <c r="AN3" s="0">
        <v>0</v>
      </c>
      <c r="AO3" s="0">
        <v>0</v>
      </c>
      <c r="AP3" s="0">
        <v>0</v>
      </c>
      <c r="AQ3" s="0">
        <v>0</v>
      </c>
      <c r="AR3" s="0">
        <v>0</v>
      </c>
      <c r="AS3" s="0">
        <v>0</v>
      </c>
      <c r="AT3" s="0">
        <v>0</v>
      </c>
      <c r="AU3" s="0">
        <v>6</v>
      </c>
      <c r="AV3" s="0">
        <v>7</v>
      </c>
      <c r="AW3" s="0">
        <v>8</v>
      </c>
      <c r="AX3" s="0" t="s">
        <v>113</v>
      </c>
      <c r="AY3" s="0" t="s">
        <v>114</v>
      </c>
      <c r="AZ3" s="0" t="s">
        <v>115</v>
      </c>
    </row>
    <row r="4">
      <c r="A4" s="1" t="s">
        <v>53</v>
      </c>
      <c r="B4" s="0">
        <v>25</v>
      </c>
      <c r="C4" s="0">
        <v>4</v>
      </c>
      <c r="D4" s="0">
        <v>0</v>
      </c>
      <c r="E4" s="0">
        <v>0</v>
      </c>
      <c r="F4" s="0">
        <v>0</v>
      </c>
      <c r="G4" s="0">
        <v>0</v>
      </c>
      <c r="H4" s="0">
        <v>0</v>
      </c>
      <c r="I4" s="0">
        <v>0</v>
      </c>
      <c r="J4" s="0">
        <v>0</v>
      </c>
      <c r="K4" s="0">
        <v>0</v>
      </c>
      <c r="L4" s="0">
        <v>0</v>
      </c>
      <c r="M4" s="0">
        <v>0</v>
      </c>
      <c r="N4" s="0">
        <v>0</v>
      </c>
      <c r="O4" s="0">
        <v>0</v>
      </c>
      <c r="P4" s="0">
        <v>0</v>
      </c>
      <c r="Q4" s="0">
        <v>0</v>
      </c>
      <c r="R4" s="0">
        <v>0</v>
      </c>
      <c r="S4" s="0">
        <v>0</v>
      </c>
      <c r="T4" s="0">
        <v>0</v>
      </c>
      <c r="U4" s="0">
        <v>0</v>
      </c>
      <c r="V4" s="0">
        <v>0</v>
      </c>
      <c r="W4" s="0">
        <v>0</v>
      </c>
      <c r="X4" s="0">
        <v>0</v>
      </c>
      <c r="Y4" s="0">
        <v>0</v>
      </c>
      <c r="Z4" s="0">
        <v>0</v>
      </c>
      <c r="AA4" s="0">
        <v>0</v>
      </c>
      <c r="AB4" s="0">
        <v>0</v>
      </c>
      <c r="AC4" s="0">
        <v>0</v>
      </c>
      <c r="AD4" s="0">
        <v>0</v>
      </c>
      <c r="AE4" s="0">
        <v>0</v>
      </c>
      <c r="AF4" s="0">
        <v>0</v>
      </c>
      <c r="AG4" s="0">
        <v>0</v>
      </c>
      <c r="AH4" s="0">
        <v>0</v>
      </c>
      <c r="AI4" s="0">
        <v>0</v>
      </c>
      <c r="AJ4" s="0">
        <v>0</v>
      </c>
      <c r="AK4" s="0">
        <v>0</v>
      </c>
      <c r="AL4" s="0">
        <v>0</v>
      </c>
      <c r="AM4" s="0">
        <v>0</v>
      </c>
      <c r="AN4" s="0">
        <v>0</v>
      </c>
      <c r="AO4" s="0">
        <v>0</v>
      </c>
      <c r="AP4" s="0">
        <v>0</v>
      </c>
      <c r="AQ4" s="0">
        <v>0</v>
      </c>
      <c r="AR4" s="0">
        <v>0</v>
      </c>
      <c r="AS4" s="0">
        <v>0</v>
      </c>
      <c r="AT4" s="0">
        <v>0</v>
      </c>
      <c r="AU4" s="0">
        <v>6</v>
      </c>
      <c r="AV4" s="0">
        <v>7</v>
      </c>
      <c r="AW4" s="0">
        <v>8</v>
      </c>
      <c r="AX4" s="0" t="s">
        <v>110</v>
      </c>
      <c r="AY4" s="0" t="s">
        <v>111</v>
      </c>
      <c r="AZ4" s="0" t="s">
        <v>112</v>
      </c>
    </row>
  </sheetData>
  <headerFooter/>
  <tableParts>
    <tablePart r:id="rId1"/>
  </tableParts>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42"/>
  <sheetViews>
    <sheetView workbookViewId="0" topLeftCell="A1" showGridLines="0">
      <pane xSplit="1" ySplit="6" topLeftCell="B7" state="frozen" activePane="bottomRight"/>
      <selection pane="topRight" activeCell="B1" sqref="B1"/>
      <selection pane="bottomLeft" activeCell="A7" sqref="A7"/>
      <selection pane="bottomRight" activeCell="A1" sqref="A1"/>
    </sheetView>
  </sheetViews>
  <sheetFormatPr defaultRowHeight="15"/>
  <cols>
    <col min="1" max="1" width="16" customWidth="1"/>
    <col min="2" max="2" width="45" customWidth="1"/>
    <col min="3" max="3" width="24" customWidth="1"/>
    <col min="4" max="4" width="18" customWidth="1"/>
    <col min="5" max="5" width="40" customWidth="1"/>
    <col min="6" max="6" width="22" customWidth="1"/>
  </cols>
  <sheetData>
    <row r="1">
      <c r="A1" s="2" t="s">
        <v>116</v>
      </c>
    </row>
    <row r="2" ht="32" customHeight="1">
      <c r="A2" s="4" t="s">
        <v>117</v>
      </c>
    </row>
    <row r="3" ht="32" customHeight="1">
      <c r="A3" s="4" t="s">
        <v>118</v>
      </c>
    </row>
    <row r="4" ht="45" customHeight="1">
      <c r="A4" s="4" t="s">
        <v>119</v>
      </c>
    </row>
    <row r="6">
      <c r="A6" s="2" t="s">
        <v>120</v>
      </c>
      <c r="B6" s="2" t="s">
        <v>107</v>
      </c>
      <c r="C6" s="2" t="s">
        <v>109</v>
      </c>
      <c r="D6" s="2" t="s">
        <v>108</v>
      </c>
      <c r="E6" s="2" t="s">
        <v>121</v>
      </c>
      <c r="F6" s="2" t="s">
        <v>122</v>
      </c>
    </row>
    <row r="7">
      <c r="A7" s="0" t="s">
        <v>123</v>
      </c>
      <c r="B7" s="0" t="s">
        <v>124</v>
      </c>
      <c r="C7" s="0" t="s">
        <v>112</v>
      </c>
      <c r="D7" s="0" t="s">
        <v>111</v>
      </c>
      <c r="E7" s="0" t="s">
        <v>125</v>
      </c>
      <c r="F7" s="0" t="s">
        <v>126</v>
      </c>
    </row>
    <row r="8">
      <c r="A8" s="0" t="s">
        <v>123</v>
      </c>
      <c r="B8" s="0" t="s">
        <v>124</v>
      </c>
      <c r="C8" s="0" t="s">
        <v>112</v>
      </c>
      <c r="D8" s="0" t="s">
        <v>114</v>
      </c>
      <c r="E8" s="0" t="s">
        <v>127</v>
      </c>
      <c r="F8" s="0" t="s">
        <v>128</v>
      </c>
    </row>
    <row r="9">
      <c r="A9" s="0" t="s">
        <v>123</v>
      </c>
      <c r="B9" s="0" t="s">
        <v>124</v>
      </c>
      <c r="C9" s="0" t="s">
        <v>112</v>
      </c>
      <c r="D9" s="0" t="s">
        <v>129</v>
      </c>
      <c r="E9" s="0" t="s">
        <v>130</v>
      </c>
      <c r="F9" s="0" t="s">
        <v>119</v>
      </c>
    </row>
    <row r="10">
      <c r="A10" s="0" t="s">
        <v>123</v>
      </c>
      <c r="B10" s="0" t="s">
        <v>124</v>
      </c>
      <c r="C10" s="0" t="s">
        <v>112</v>
      </c>
      <c r="D10" s="0" t="s">
        <v>131</v>
      </c>
      <c r="E10" s="0" t="s">
        <v>130</v>
      </c>
      <c r="F10" s="0" t="s">
        <v>119</v>
      </c>
    </row>
    <row r="11">
      <c r="A11" s="0" t="s">
        <v>123</v>
      </c>
      <c r="B11" s="0" t="s">
        <v>124</v>
      </c>
      <c r="C11" s="0" t="s">
        <v>112</v>
      </c>
      <c r="D11" s="0" t="s">
        <v>132</v>
      </c>
      <c r="E11" s="0" t="s">
        <v>130</v>
      </c>
      <c r="F11" s="0" t="s">
        <v>119</v>
      </c>
    </row>
    <row r="12">
      <c r="A12" s="0" t="s">
        <v>123</v>
      </c>
      <c r="B12" s="0" t="s">
        <v>124</v>
      </c>
      <c r="C12" s="0" t="s">
        <v>112</v>
      </c>
      <c r="D12" s="0" t="s">
        <v>133</v>
      </c>
      <c r="E12" s="0" t="s">
        <v>130</v>
      </c>
      <c r="F12" s="0" t="s">
        <v>119</v>
      </c>
    </row>
    <row r="13">
      <c r="A13" s="0" t="s">
        <v>123</v>
      </c>
      <c r="B13" s="0" t="s">
        <v>124</v>
      </c>
      <c r="C13" s="0" t="s">
        <v>112</v>
      </c>
      <c r="D13" s="0" t="s">
        <v>134</v>
      </c>
      <c r="E13" s="0" t="s">
        <v>130</v>
      </c>
      <c r="F13" s="0" t="s">
        <v>119</v>
      </c>
    </row>
    <row r="14">
      <c r="A14" s="0" t="s">
        <v>123</v>
      </c>
      <c r="B14" s="0" t="s">
        <v>124</v>
      </c>
      <c r="C14" s="0" t="s">
        <v>112</v>
      </c>
      <c r="D14" s="0" t="s">
        <v>135</v>
      </c>
      <c r="E14" s="0" t="s">
        <v>130</v>
      </c>
      <c r="F14" s="0" t="s">
        <v>119</v>
      </c>
    </row>
    <row r="15">
      <c r="A15" s="0" t="s">
        <v>123</v>
      </c>
      <c r="B15" s="0" t="s">
        <v>124</v>
      </c>
      <c r="C15" s="0" t="s">
        <v>112</v>
      </c>
      <c r="D15" s="0" t="s">
        <v>136</v>
      </c>
      <c r="E15" s="0" t="s">
        <v>130</v>
      </c>
      <c r="F15" s="0" t="s">
        <v>119</v>
      </c>
    </row>
    <row r="16">
      <c r="A16" s="0" t="s">
        <v>123</v>
      </c>
      <c r="B16" s="0" t="s">
        <v>124</v>
      </c>
      <c r="C16" s="0" t="s">
        <v>112</v>
      </c>
      <c r="D16" s="0" t="s">
        <v>137</v>
      </c>
      <c r="E16" s="0" t="s">
        <v>130</v>
      </c>
      <c r="F16" s="0" t="s">
        <v>119</v>
      </c>
    </row>
    <row r="17">
      <c r="A17" s="0" t="s">
        <v>123</v>
      </c>
      <c r="B17" s="0" t="s">
        <v>124</v>
      </c>
      <c r="C17" s="0" t="s">
        <v>112</v>
      </c>
      <c r="D17" s="0" t="s">
        <v>138</v>
      </c>
      <c r="E17" s="0" t="s">
        <v>130</v>
      </c>
      <c r="F17" s="0" t="s">
        <v>119</v>
      </c>
    </row>
    <row r="18">
      <c r="A18" s="0" t="s">
        <v>123</v>
      </c>
      <c r="B18" s="0" t="s">
        <v>124</v>
      </c>
      <c r="C18" s="0" t="s">
        <v>112</v>
      </c>
      <c r="D18" s="0" t="s">
        <v>139</v>
      </c>
      <c r="E18" s="0" t="s">
        <v>130</v>
      </c>
      <c r="F18" s="0" t="s">
        <v>119</v>
      </c>
    </row>
    <row r="19">
      <c r="A19" s="0" t="s">
        <v>140</v>
      </c>
      <c r="B19" s="0" t="s">
        <v>141</v>
      </c>
      <c r="C19" s="0" t="s">
        <v>115</v>
      </c>
      <c r="D19" s="0" t="s">
        <v>111</v>
      </c>
      <c r="E19" s="0" t="s">
        <v>130</v>
      </c>
      <c r="F19" s="0" t="s">
        <v>119</v>
      </c>
    </row>
    <row r="20">
      <c r="A20" s="0" t="s">
        <v>140</v>
      </c>
      <c r="B20" s="0" t="s">
        <v>141</v>
      </c>
      <c r="C20" s="0" t="s">
        <v>115</v>
      </c>
      <c r="D20" s="0" t="s">
        <v>114</v>
      </c>
      <c r="E20" s="0" t="s">
        <v>125</v>
      </c>
      <c r="F20" s="0" t="s">
        <v>142</v>
      </c>
    </row>
    <row r="21">
      <c r="A21" s="0" t="s">
        <v>140</v>
      </c>
      <c r="B21" s="0" t="s">
        <v>141</v>
      </c>
      <c r="C21" s="0" t="s">
        <v>115</v>
      </c>
      <c r="D21" s="0" t="s">
        <v>129</v>
      </c>
      <c r="E21" s="0" t="s">
        <v>130</v>
      </c>
      <c r="F21" s="0" t="s">
        <v>119</v>
      </c>
    </row>
    <row r="22">
      <c r="A22" s="0" t="s">
        <v>140</v>
      </c>
      <c r="B22" s="0" t="s">
        <v>141</v>
      </c>
      <c r="C22" s="0" t="s">
        <v>115</v>
      </c>
      <c r="D22" s="0" t="s">
        <v>131</v>
      </c>
      <c r="E22" s="0" t="s">
        <v>130</v>
      </c>
      <c r="F22" s="0" t="s">
        <v>119</v>
      </c>
    </row>
    <row r="23">
      <c r="A23" s="0" t="s">
        <v>140</v>
      </c>
      <c r="B23" s="0" t="s">
        <v>141</v>
      </c>
      <c r="C23" s="0" t="s">
        <v>115</v>
      </c>
      <c r="D23" s="0" t="s">
        <v>132</v>
      </c>
      <c r="E23" s="0" t="s">
        <v>130</v>
      </c>
      <c r="F23" s="0" t="s">
        <v>119</v>
      </c>
    </row>
    <row r="24">
      <c r="A24" s="0" t="s">
        <v>140</v>
      </c>
      <c r="B24" s="0" t="s">
        <v>141</v>
      </c>
      <c r="C24" s="0" t="s">
        <v>115</v>
      </c>
      <c r="D24" s="0" t="s">
        <v>133</v>
      </c>
      <c r="E24" s="0" t="s">
        <v>130</v>
      </c>
      <c r="F24" s="0" t="s">
        <v>119</v>
      </c>
    </row>
    <row r="25">
      <c r="A25" s="0" t="s">
        <v>140</v>
      </c>
      <c r="B25" s="0" t="s">
        <v>141</v>
      </c>
      <c r="C25" s="0" t="s">
        <v>115</v>
      </c>
      <c r="D25" s="0" t="s">
        <v>134</v>
      </c>
      <c r="E25" s="0" t="s">
        <v>130</v>
      </c>
      <c r="F25" s="0" t="s">
        <v>119</v>
      </c>
    </row>
    <row r="26">
      <c r="A26" s="0" t="s">
        <v>140</v>
      </c>
      <c r="B26" s="0" t="s">
        <v>141</v>
      </c>
      <c r="C26" s="0" t="s">
        <v>115</v>
      </c>
      <c r="D26" s="0" t="s">
        <v>135</v>
      </c>
      <c r="E26" s="0" t="s">
        <v>130</v>
      </c>
      <c r="F26" s="0" t="s">
        <v>119</v>
      </c>
    </row>
    <row r="27">
      <c r="A27" s="0" t="s">
        <v>140</v>
      </c>
      <c r="B27" s="0" t="s">
        <v>141</v>
      </c>
      <c r="C27" s="0" t="s">
        <v>115</v>
      </c>
      <c r="D27" s="0" t="s">
        <v>136</v>
      </c>
      <c r="E27" s="0" t="s">
        <v>130</v>
      </c>
      <c r="F27" s="0" t="s">
        <v>119</v>
      </c>
    </row>
    <row r="28">
      <c r="A28" s="0" t="s">
        <v>140</v>
      </c>
      <c r="B28" s="0" t="s">
        <v>141</v>
      </c>
      <c r="C28" s="0" t="s">
        <v>115</v>
      </c>
      <c r="D28" s="0" t="s">
        <v>137</v>
      </c>
      <c r="E28" s="0" t="s">
        <v>130</v>
      </c>
      <c r="F28" s="0" t="s">
        <v>119</v>
      </c>
    </row>
    <row r="29">
      <c r="A29" s="0" t="s">
        <v>140</v>
      </c>
      <c r="B29" s="0" t="s">
        <v>141</v>
      </c>
      <c r="C29" s="0" t="s">
        <v>115</v>
      </c>
      <c r="D29" s="0" t="s">
        <v>138</v>
      </c>
      <c r="E29" s="0" t="s">
        <v>130</v>
      </c>
      <c r="F29" s="0" t="s">
        <v>119</v>
      </c>
    </row>
    <row r="30">
      <c r="A30" s="0" t="s">
        <v>140</v>
      </c>
      <c r="B30" s="0" t="s">
        <v>141</v>
      </c>
      <c r="C30" s="0" t="s">
        <v>115</v>
      </c>
      <c r="D30" s="0" t="s">
        <v>139</v>
      </c>
      <c r="E30" s="0" t="s">
        <v>130</v>
      </c>
      <c r="F30" s="0" t="s">
        <v>119</v>
      </c>
    </row>
    <row r="31">
      <c r="A31" s="0" t="s">
        <v>143</v>
      </c>
      <c r="B31" s="0" t="s">
        <v>144</v>
      </c>
      <c r="C31" s="0" t="s">
        <v>115</v>
      </c>
      <c r="D31" s="0" t="s">
        <v>111</v>
      </c>
      <c r="E31" s="0" t="s">
        <v>130</v>
      </c>
      <c r="F31" s="0" t="s">
        <v>119</v>
      </c>
    </row>
    <row r="32">
      <c r="A32" s="0" t="s">
        <v>143</v>
      </c>
      <c r="B32" s="0" t="s">
        <v>144</v>
      </c>
      <c r="C32" s="0" t="s">
        <v>115</v>
      </c>
      <c r="D32" s="0" t="s">
        <v>114</v>
      </c>
      <c r="E32" s="0" t="s">
        <v>130</v>
      </c>
      <c r="F32" s="0" t="s">
        <v>119</v>
      </c>
    </row>
    <row r="33">
      <c r="A33" s="0" t="s">
        <v>143</v>
      </c>
      <c r="B33" s="0" t="s">
        <v>144</v>
      </c>
      <c r="C33" s="0" t="s">
        <v>115</v>
      </c>
      <c r="D33" s="0" t="s">
        <v>129</v>
      </c>
      <c r="E33" s="0" t="s">
        <v>130</v>
      </c>
      <c r="F33" s="0" t="s">
        <v>119</v>
      </c>
    </row>
    <row r="34">
      <c r="A34" s="0" t="s">
        <v>143</v>
      </c>
      <c r="B34" s="0" t="s">
        <v>144</v>
      </c>
      <c r="C34" s="0" t="s">
        <v>115</v>
      </c>
      <c r="D34" s="0" t="s">
        <v>131</v>
      </c>
      <c r="E34" s="0" t="s">
        <v>130</v>
      </c>
      <c r="F34" s="0" t="s">
        <v>119</v>
      </c>
    </row>
    <row r="35">
      <c r="A35" s="0" t="s">
        <v>143</v>
      </c>
      <c r="B35" s="0" t="s">
        <v>144</v>
      </c>
      <c r="C35" s="0" t="s">
        <v>115</v>
      </c>
      <c r="D35" s="0" t="s">
        <v>132</v>
      </c>
      <c r="E35" s="0" t="s">
        <v>130</v>
      </c>
      <c r="F35" s="0" t="s">
        <v>119</v>
      </c>
    </row>
    <row r="36">
      <c r="A36" s="0" t="s">
        <v>143</v>
      </c>
      <c r="B36" s="0" t="s">
        <v>144</v>
      </c>
      <c r="C36" s="0" t="s">
        <v>115</v>
      </c>
      <c r="D36" s="0" t="s">
        <v>133</v>
      </c>
      <c r="E36" s="0" t="s">
        <v>130</v>
      </c>
      <c r="F36" s="0" t="s">
        <v>119</v>
      </c>
    </row>
    <row r="37">
      <c r="A37" s="0" t="s">
        <v>143</v>
      </c>
      <c r="B37" s="0" t="s">
        <v>144</v>
      </c>
      <c r="C37" s="0" t="s">
        <v>115</v>
      </c>
      <c r="D37" s="0" t="s">
        <v>134</v>
      </c>
      <c r="E37" s="0" t="s">
        <v>130</v>
      </c>
      <c r="F37" s="0" t="s">
        <v>119</v>
      </c>
    </row>
    <row r="38">
      <c r="A38" s="0" t="s">
        <v>143</v>
      </c>
      <c r="B38" s="0" t="s">
        <v>144</v>
      </c>
      <c r="C38" s="0" t="s">
        <v>115</v>
      </c>
      <c r="D38" s="0" t="s">
        <v>135</v>
      </c>
      <c r="E38" s="0" t="s">
        <v>130</v>
      </c>
      <c r="F38" s="0" t="s">
        <v>119</v>
      </c>
    </row>
    <row r="39">
      <c r="A39" s="0" t="s">
        <v>143</v>
      </c>
      <c r="B39" s="0" t="s">
        <v>144</v>
      </c>
      <c r="C39" s="0" t="s">
        <v>115</v>
      </c>
      <c r="D39" s="0" t="s">
        <v>136</v>
      </c>
      <c r="E39" s="0" t="s">
        <v>130</v>
      </c>
      <c r="F39" s="0" t="s">
        <v>119</v>
      </c>
    </row>
    <row r="40">
      <c r="A40" s="0" t="s">
        <v>143</v>
      </c>
      <c r="B40" s="0" t="s">
        <v>144</v>
      </c>
      <c r="C40" s="0" t="s">
        <v>115</v>
      </c>
      <c r="D40" s="0" t="s">
        <v>137</v>
      </c>
      <c r="E40" s="0" t="s">
        <v>130</v>
      </c>
      <c r="F40" s="0" t="s">
        <v>119</v>
      </c>
    </row>
    <row r="41">
      <c r="A41" s="0" t="s">
        <v>143</v>
      </c>
      <c r="B41" s="0" t="s">
        <v>144</v>
      </c>
      <c r="C41" s="0" t="s">
        <v>115</v>
      </c>
      <c r="D41" s="0" t="s">
        <v>138</v>
      </c>
      <c r="E41" s="0" t="s">
        <v>130</v>
      </c>
      <c r="F41" s="0" t="s">
        <v>119</v>
      </c>
    </row>
    <row r="42">
      <c r="A42" s="0" t="s">
        <v>143</v>
      </c>
      <c r="B42" s="0" t="s">
        <v>144</v>
      </c>
      <c r="C42" s="0" t="s">
        <v>115</v>
      </c>
      <c r="D42" s="0" t="s">
        <v>139</v>
      </c>
      <c r="E42" s="0" t="s">
        <v>130</v>
      </c>
      <c r="F42" s="0" t="s">
        <v>119</v>
      </c>
    </row>
  </sheetData>
  <mergeCells>
    <mergeCell ref="A2:F2"/>
    <mergeCell ref="A3:F3"/>
    <mergeCell ref="A4:F4"/>
  </mergeCells>
  <headerFooter/>
</worksheet>
</file>

<file path=EPPlusLicense.txt>This workbook was created with the EPPlus library, licensed to DESAM Monte Patria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8.5</AppVersion>
  <Company>DESAM Monte Patria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DESAM Monte Patria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